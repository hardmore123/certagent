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drawings/drawing2.xml" ContentType="application/vnd.openxmlformats-officedocument.drawing+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codeName="ThisWorkbook" defaultThemeVersion="124226"/>
  <mc:AlternateContent xmlns:mc="http://schemas.openxmlformats.org/markup-compatibility/2006">
    <mc:Choice Requires="x15">
      <x15ac:absPath xmlns:x15ac="http://schemas.microsoft.com/office/spreadsheetml/2010/11/ac" url="E:\环保工作\市场环保需求申请\2026年\20260126-85LASF(01),75LASF(01)\"/>
    </mc:Choice>
  </mc:AlternateContent>
  <xr:revisionPtr revIDLastSave="0" documentId="13_ncr:1_{E0DD1289-3A75-45B1-A58C-851006941FDE}" xr6:coauthVersionLast="47" xr6:coauthVersionMax="47" xr10:uidLastSave="{00000000-0000-0000-0000-000000000000}"/>
  <bookViews>
    <workbookView xWindow="-108" yWindow="-108" windowWidth="23256" windowHeight="12576" activeTab="1" xr2:uid="{00000000-000D-0000-FFFF-FFFF00000000}"/>
  </bookViews>
  <sheets>
    <sheet name="Instruction Sheet" sheetId="8" r:id="rId1"/>
    <sheet name="Declaration(Rev.11_07)" sheetId="6" r:id="rId2"/>
    <sheet name="History" sheetId="9" r:id="rId3"/>
  </sheets>
  <definedNames>
    <definedName name="OLE_LINK1" localSheetId="1">'Declaration(Rev.11_07)'!#REF!</definedName>
    <definedName name="_xlnm.Print_Area" localSheetId="1">'Declaration(Rev.11_07)'!$A$1:$S$76</definedName>
    <definedName name="_xlnm.Print_Area" localSheetId="0">'Instruction Sheet'!$A$1:$N$281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X33" i="6" l="1"/>
  <c r="X14" i="6"/>
  <c r="N213" i="8"/>
  <c r="N156" i="8"/>
  <c r="N113" i="8"/>
  <c r="N73" i="8"/>
  <c r="X32" i="6"/>
  <c r="X13" i="6"/>
  <c r="X15" i="6"/>
  <c r="X34" i="6" s="1"/>
  <c r="AF34" i="6"/>
  <c r="X16" i="6"/>
  <c r="X17" i="6"/>
  <c r="X18" i="6"/>
  <c r="X19" i="6"/>
  <c r="X20" i="6"/>
  <c r="X21" i="6"/>
  <c r="X22" i="6"/>
  <c r="X23" i="6"/>
  <c r="X24" i="6"/>
  <c r="X25" i="6"/>
  <c r="X26" i="6"/>
  <c r="X27" i="6"/>
  <c r="X28" i="6"/>
  <c r="X29" i="6"/>
  <c r="X30" i="6"/>
  <c r="X31" i="6"/>
  <c r="O35" i="6"/>
  <c r="X36" i="6"/>
  <c r="X37" i="6"/>
  <c r="X38" i="6"/>
  <c r="X40" i="6"/>
  <c r="X43" i="6"/>
  <c r="X42" i="6"/>
  <c r="I75" i="6" s="1"/>
  <c r="N75" i="6" l="1"/>
  <c r="N74" i="6"/>
  <c r="X41" i="6"/>
  <c r="I74" i="6"/>
  <c r="P39" i="6" l="1"/>
  <c r="H75" i="6"/>
</calcChain>
</file>

<file path=xl/sharedStrings.xml><?xml version="1.0" encoding="utf-8"?>
<sst xmlns="http://schemas.openxmlformats.org/spreadsheetml/2006/main" count="573" uniqueCount="514">
  <si>
    <t>8(b)</t>
    <phoneticPr fontId="1"/>
  </si>
  <si>
    <t>6(a)</t>
    <phoneticPr fontId="1"/>
  </si>
  <si>
    <t>6(b)</t>
    <phoneticPr fontId="1"/>
  </si>
  <si>
    <t>6(c)</t>
    <phoneticPr fontId="1"/>
  </si>
  <si>
    <t>7(a)</t>
    <phoneticPr fontId="1"/>
  </si>
  <si>
    <t>7(c)-II</t>
    <phoneticPr fontId="1"/>
  </si>
  <si>
    <t>13(a)</t>
    <phoneticPr fontId="1"/>
  </si>
  <si>
    <t>1(a)-(f)</t>
    <phoneticPr fontId="1"/>
  </si>
  <si>
    <t>2(a)(1)-(5)</t>
    <phoneticPr fontId="1"/>
  </si>
  <si>
    <t>3(a)-(c)</t>
    <phoneticPr fontId="1"/>
  </si>
  <si>
    <t>4(a)</t>
    <phoneticPr fontId="1"/>
  </si>
  <si>
    <t>4(f)</t>
    <phoneticPr fontId="1"/>
  </si>
  <si>
    <t>Exempted uses (Allowable uses)</t>
    <phoneticPr fontId="1"/>
  </si>
  <si>
    <t>Cadmium and its compounds in electrical contacts</t>
    <phoneticPr fontId="1"/>
  </si>
  <si>
    <t>Lead as an alloying element in steel for machining purposes and in galvanized steel containing up to 0.35 % lead by weight</t>
    <phoneticPr fontId="1"/>
  </si>
  <si>
    <t>Lead as an alloying element in aluminium containing up to 0.4 % lead by weight</t>
    <phoneticPr fontId="1"/>
  </si>
  <si>
    <t>Copper alloy containing up to 4 % lead by weight</t>
    <phoneticPr fontId="1"/>
  </si>
  <si>
    <t>Lead in high melting temperature type solders (i.e. lead- based alloys containing 85 % by weight or more lead)</t>
    <phoneticPr fontId="1"/>
  </si>
  <si>
    <t>Electrical and electronic components containing lead in a glass or ceramic other than dielectric ceramic in capacitors, e.g. piezoelectronic devices, or in a glass or ceramic matrix compound</t>
    <phoneticPr fontId="1"/>
  </si>
  <si>
    <t>Lead in dielectric ceramic in capacitors for a rated voltage of 125 V AC or 250 V DC or higher</t>
    <phoneticPr fontId="1"/>
  </si>
  <si>
    <t>Lead in white glasses used for optical applications</t>
    <phoneticPr fontId="1"/>
  </si>
  <si>
    <t>Lead in solders to complete a viable electrical connection between semiconductor die and carrier within integrated circuit flip chip packages</t>
    <phoneticPr fontId="1"/>
  </si>
  <si>
    <t>Lead in printing inks for the application of enamels on glasses, such as borosilicate and soda lime glasses</t>
    <phoneticPr fontId="1"/>
  </si>
  <si>
    <t>Lead in solders for the soldering to machined through hole discoidal and planar array ceramic multilayer capacitors</t>
    <phoneticPr fontId="1"/>
  </si>
  <si>
    <t>Lead bound in crystal glass as defined in Annex I (Categories 1, 2, 3 and 4) of Council Directive 69/493/EEC</t>
    <phoneticPr fontId="1"/>
  </si>
  <si>
    <t xml:space="preserve">Mercury in other low pressure discharge lamps not exceeding </t>
    <phoneticPr fontId="1"/>
  </si>
  <si>
    <t>Mercury in other discharge lamps for special purposes not specifically mentioned in the Annex of COMMISSION DECISION 2010/571/EU</t>
    <phoneticPr fontId="1"/>
  </si>
  <si>
    <t>RoHS
exemption
No.</t>
    <phoneticPr fontId="1"/>
  </si>
  <si>
    <t>Uses and regal requirements</t>
    <phoneticPr fontId="1"/>
  </si>
  <si>
    <t>5. "Responsible person" column</t>
    <phoneticPr fontId="1"/>
  </si>
  <si>
    <t>- Please enter the responsible person's name, and his/her signature. (Please enter and sign, even when it is the same person.)</t>
    <phoneticPr fontId="1"/>
  </si>
  <si>
    <t>- Please enter his/her title, section and company name, when the responsible person is different to the person who filled</t>
    <phoneticPr fontId="1"/>
  </si>
  <si>
    <t xml:space="preserve">   the delivery of parts to our company.</t>
    <phoneticPr fontId="1"/>
  </si>
  <si>
    <t>* Entering your name electronically is acceptable.</t>
    <phoneticPr fontId="1"/>
  </si>
  <si>
    <t xml:space="preserve">- Please select "intended inclusion Yes", when the substance is used as a necessary ingredient in order to obtain </t>
    <phoneticPr fontId="1"/>
  </si>
  <si>
    <t xml:space="preserve">  functionality and performance of units, parts/components.</t>
    <phoneticPr fontId="1"/>
  </si>
  <si>
    <t>- Please select "intended inclusion No", only when the substance is included as impurities - not a necessary element.</t>
    <phoneticPr fontId="1"/>
  </si>
  <si>
    <t>Regarding a product with packaging or parts/materials which are expected will be used for packaging, the accumulated</t>
    <phoneticPr fontId="1"/>
  </si>
  <si>
    <t>Azo pigments and dyes (forming specified amines) &lt;Table 3&gt;</t>
    <phoneticPr fontId="1"/>
  </si>
  <si>
    <t>each portion (homogeneous material) -excluding that of intended inclusion- which composes the products.</t>
    <phoneticPr fontId="1"/>
  </si>
  <si>
    <t>The company concerned guarantees that all the items filled above are correct.</t>
    <phoneticPr fontId="1"/>
  </si>
  <si>
    <t>Name:</t>
    <phoneticPr fontId="1"/>
  </si>
  <si>
    <t>(Please fill your name and signature even if you and "Person filling out the sheet" are the same.)</t>
    <phoneticPr fontId="1"/>
  </si>
  <si>
    <t>&lt;Remarks&gt;</t>
    <phoneticPr fontId="1"/>
  </si>
  <si>
    <t>(No.)</t>
    <phoneticPr fontId="1"/>
  </si>
  <si>
    <t>HCFC</t>
    <phoneticPr fontId="1"/>
  </si>
  <si>
    <t>How to enter the Use/Non-use Declaration of Environment-related Substances</t>
  </si>
  <si>
    <t xml:space="preserve">- Judgment is not to be made by measurement results only. Be sure to clarify whether the inclusion is intentional or not (impurity). </t>
    <phoneticPr fontId="1"/>
  </si>
  <si>
    <t>* In principal, the person responsible for replying should be the person in charge of quality assurance or equivalent, for</t>
    <phoneticPr fontId="1"/>
  </si>
  <si>
    <t>Part No.</t>
    <phoneticPr fontId="1"/>
  </si>
  <si>
    <t>TEL:</t>
    <phoneticPr fontId="1"/>
  </si>
  <si>
    <t>E-mail:</t>
    <phoneticPr fontId="1"/>
  </si>
  <si>
    <t>Company:</t>
    <phoneticPr fontId="1"/>
  </si>
  <si>
    <t xml:space="preserve">  Title/Sect.:</t>
    <phoneticPr fontId="1"/>
  </si>
  <si>
    <t>Title/Sect:</t>
    <phoneticPr fontId="1"/>
  </si>
  <si>
    <t xml:space="preserve">  If at least one portion (homogenous material) exceeds the threshold, please select "Above threshold".</t>
    <phoneticPr fontId="1"/>
  </si>
  <si>
    <t>dose not exceed 100ppm.</t>
    <phoneticPr fontId="1"/>
  </si>
  <si>
    <t>- Please click and select one button for each alternative set of each substance or item.</t>
    <phoneticPr fontId="1"/>
  </si>
  <si>
    <t>: When the substance concerned is not intentionally included.</t>
    <phoneticPr fontId="1"/>
  </si>
  <si>
    <t xml:space="preserve">   in the sheet.</t>
    <phoneticPr fontId="1"/>
  </si>
  <si>
    <t>Lead, cadmium, mercury and hexavalent chromium</t>
    <phoneticPr fontId="1"/>
  </si>
  <si>
    <t>3. "Response of Yes or No on the inclusion of environment-related substances" column</t>
    <phoneticPr fontId="1"/>
  </si>
  <si>
    <t>CFC other than above (1)</t>
    <phoneticPr fontId="1"/>
  </si>
  <si>
    <t xml:space="preserve">4-amino azobenzene </t>
  </si>
  <si>
    <t>o-anisidine</t>
  </si>
  <si>
    <t>2-naphthylamine</t>
  </si>
  <si>
    <t>3, 3’-dichlorobensidine</t>
  </si>
  <si>
    <t>Biphenyl-4-ylamine</t>
  </si>
  <si>
    <t>Benzidine</t>
  </si>
  <si>
    <t>o-toluidine</t>
  </si>
  <si>
    <t>4-chloro- o-toluidine</t>
  </si>
  <si>
    <t>2, 4-toluenediamine</t>
  </si>
  <si>
    <t>o-aminoazotoluene</t>
  </si>
  <si>
    <t>5- nitro-o-toluidine</t>
  </si>
  <si>
    <t>3, 3’-dichloro-4, 4’-diaminodiphenylmethane</t>
  </si>
  <si>
    <t>4, 4’-methylenedianiline</t>
  </si>
  <si>
    <t>4, 4’-diaminodiphenylether</t>
  </si>
  <si>
    <t>p-chloroaniline</t>
  </si>
  <si>
    <t>3, 3’-dimethoxybenzidine</t>
  </si>
  <si>
    <t>3, 3’-dimethylbenzidine</t>
  </si>
  <si>
    <t>2-methoxy-5-methylaniline</t>
  </si>
  <si>
    <t>2, 4, 5-trimethylaniline</t>
  </si>
  <si>
    <t>4,4’-Thiodianiline</t>
  </si>
  <si>
    <t>2,4’-methoxy-m-Phenylenediamine</t>
  </si>
  <si>
    <t>4, 4’-methylenedi- o -toluidine</t>
  </si>
  <si>
    <t>CAS No.</t>
  </si>
  <si>
    <t>90-04-0</t>
  </si>
  <si>
    <t>91-59-8</t>
  </si>
  <si>
    <t>91-94-1</t>
  </si>
  <si>
    <t>92-67-1</t>
  </si>
  <si>
    <t>92-87-5</t>
  </si>
  <si>
    <t>95-53-4</t>
  </si>
  <si>
    <t>95-69-2</t>
  </si>
  <si>
    <t>95-80-7</t>
  </si>
  <si>
    <t>97-56-3</t>
  </si>
  <si>
    <t>99-55-8</t>
  </si>
  <si>
    <t>101-14-4</t>
  </si>
  <si>
    <t>101-77-9</t>
  </si>
  <si>
    <t>101-80-4</t>
  </si>
  <si>
    <t>106-47-8</t>
  </si>
  <si>
    <t>119-90-4</t>
  </si>
  <si>
    <t>119-93-7</t>
  </si>
  <si>
    <t>120-71-8</t>
  </si>
  <si>
    <t>137-17-7</t>
  </si>
  <si>
    <t>139-65-1</t>
  </si>
  <si>
    <t>615-05-4</t>
  </si>
  <si>
    <t>838-88-0</t>
  </si>
  <si>
    <t>60-09-3</t>
    <phoneticPr fontId="1"/>
  </si>
  <si>
    <t>CFC</t>
    <phoneticPr fontId="1"/>
  </si>
  <si>
    <t>(Defined in Appendix C group I of Montreal Protocol))</t>
    <phoneticPr fontId="1"/>
  </si>
  <si>
    <t xml:space="preserve">  the tin-electroplating coatings on the lead frame, the lead frame alloy and the gold-bonding wires.</t>
    <phoneticPr fontId="1"/>
  </si>
  <si>
    <t xml:space="preserve">Have the sub materials in the manufacturing process of a consigned counterpart outside your company also been checked? </t>
    <phoneticPr fontId="1"/>
  </si>
  <si>
    <t xml:space="preserve">When there are two or more production lines, manufacturing bases, manufacturing consignees, and supply routes for the </t>
    <phoneticPr fontId="1"/>
  </si>
  <si>
    <t>subject parts, these are all to subject to the contents of this reply.  Are the contents of this reply guaranteed for all of those?</t>
    <phoneticPr fontId="1"/>
  </si>
  <si>
    <t>Items related to substance restriction.</t>
    <phoneticPr fontId="1"/>
  </si>
  <si>
    <t>含有なし</t>
    <phoneticPr fontId="1"/>
  </si>
  <si>
    <t>閾値リンクセル</t>
    <rPh sb="0" eb="2">
      <t>シキイチ</t>
    </rPh>
    <phoneticPr fontId="1"/>
  </si>
  <si>
    <t>含有リンクセル</t>
    <rPh sb="0" eb="2">
      <t>ガンユウ</t>
    </rPh>
    <phoneticPr fontId="1"/>
  </si>
  <si>
    <t>閾値以下</t>
    <rPh sb="0" eb="2">
      <t>シキイチ</t>
    </rPh>
    <rPh sb="2" eb="4">
      <t>イカ</t>
    </rPh>
    <phoneticPr fontId="1"/>
  </si>
  <si>
    <t>環境フラグ
（物質別）</t>
    <rPh sb="0" eb="2">
      <t>カンキョウ</t>
    </rPh>
    <phoneticPr fontId="1"/>
  </si>
  <si>
    <t>閾値越える</t>
    <rPh sb="0" eb="2">
      <t>シキイチ</t>
    </rPh>
    <rPh sb="2" eb="3">
      <t>コ</t>
    </rPh>
    <phoneticPr fontId="1"/>
  </si>
  <si>
    <t>Additional Sheets</t>
  </si>
  <si>
    <t>No</t>
  </si>
  <si>
    <t>Yes</t>
  </si>
  <si>
    <t>Yes</t>
    <phoneticPr fontId="1"/>
  </si>
  <si>
    <t>No</t>
    <phoneticPr fontId="1"/>
  </si>
  <si>
    <t>1. Notes on how to complete the sheet</t>
    <phoneticPr fontId="1"/>
  </si>
  <si>
    <t xml:space="preserve">     same series of object articles.</t>
    <phoneticPr fontId="1"/>
  </si>
  <si>
    <t>- Intended Inclusion No</t>
    <phoneticPr fontId="1"/>
  </si>
  <si>
    <t xml:space="preserve">- Intended Inclusion Yes </t>
    <phoneticPr fontId="1"/>
  </si>
  <si>
    <t>6. Regarding the judgment of intended inclusion Yes or No</t>
    <phoneticPr fontId="1"/>
  </si>
  <si>
    <t>- Please enter any supplementary information to replies.</t>
  </si>
  <si>
    <t>- Please do not change the format of the declaration.</t>
  </si>
  <si>
    <t>(Defined in Appendix A group I of Montreal Protocol)</t>
  </si>
  <si>
    <t>(Defined in Appendix A group II of Montreal Protocol)</t>
    <phoneticPr fontId="1"/>
  </si>
  <si>
    <t>(Defined in Appendix B group I of Montreal Protocol)</t>
    <phoneticPr fontId="1"/>
  </si>
  <si>
    <t>(Defined in Appendix B group II of Montreal Protocol)</t>
    <phoneticPr fontId="1"/>
  </si>
  <si>
    <t>(Defined in Appendix B group III of Montreal Protocol)</t>
    <phoneticPr fontId="1"/>
  </si>
  <si>
    <t>(Defined in Appendix C group II of Montreal Protocol))</t>
    <phoneticPr fontId="1"/>
  </si>
  <si>
    <t>(Defined in Appendix C group III of Montreal Protocol)</t>
    <phoneticPr fontId="1"/>
  </si>
  <si>
    <t>(Defined in Appendix E of Montreal Protocol)</t>
    <phoneticPr fontId="1"/>
  </si>
  <si>
    <t xml:space="preserve">  - The term "homogeneous" means "of uniform composition throughout", so examples of "homogeneous materials" are </t>
    <phoneticPr fontId="1"/>
  </si>
  <si>
    <t xml:space="preserve">    plastics, ceramics, glass, metals, alloys, paper, board, resins and coatings.</t>
    <phoneticPr fontId="1"/>
  </si>
  <si>
    <t xml:space="preserve">    unscrewing, cutting, crushing, grinding and abrasive processes.</t>
    <phoneticPr fontId="1"/>
  </si>
  <si>
    <t>- A plastic cover is homogenous material if it consisted exclusively of one type of plastic that was not coated with</t>
    <phoneticPr fontId="1"/>
  </si>
  <si>
    <t xml:space="preserve">  or had attached to it (or inside it) any other kinds of materials.</t>
    <phoneticPr fontId="1"/>
  </si>
  <si>
    <t>- An electric cable that consisted of material wires surrounded by non-metallic insulation materials is not</t>
    <phoneticPr fontId="1"/>
  </si>
  <si>
    <t xml:space="preserve">  homogenous material because mechanical processes could separate the different materials. </t>
    <phoneticPr fontId="1"/>
  </si>
  <si>
    <t xml:space="preserve">- A semi-conductor package contains many homogenous materials, which include the plastic molding material, </t>
    <phoneticPr fontId="1"/>
  </si>
  <si>
    <t>PBB</t>
    <phoneticPr fontId="1"/>
  </si>
  <si>
    <t>PBDE</t>
    <phoneticPr fontId="1"/>
  </si>
  <si>
    <t>Substance</t>
    <phoneticPr fontId="1"/>
  </si>
  <si>
    <t>- Yes</t>
    <phoneticPr fontId="1"/>
  </si>
  <si>
    <t>- No</t>
    <phoneticPr fontId="1"/>
  </si>
  <si>
    <t>0.0075wt% (75ppm)</t>
    <phoneticPr fontId="1"/>
  </si>
  <si>
    <t>PVC</t>
    <phoneticPr fontId="1"/>
  </si>
  <si>
    <t>No.</t>
    <phoneticPr fontId="1"/>
  </si>
  <si>
    <t>Cadmium and its compounds</t>
    <phoneticPr fontId="1"/>
  </si>
  <si>
    <t>Lead and its compounds</t>
    <phoneticPr fontId="1"/>
  </si>
  <si>
    <t>Mercury and its compounds</t>
    <phoneticPr fontId="1"/>
  </si>
  <si>
    <t>Under packaging regulations in force in Europe and USA</t>
    <phoneticPr fontId="1"/>
  </si>
  <si>
    <t>Resin, paint, ink, etc</t>
    <phoneticPr fontId="1"/>
  </si>
  <si>
    <t xml:space="preserve">(*1) "No." refers the item number on the "Declaration" sheet. </t>
    <phoneticPr fontId="1"/>
  </si>
  <si>
    <t>0.1wt% (1000ppm)</t>
    <phoneticPr fontId="1"/>
  </si>
  <si>
    <t>0.03wt%(300ppm)</t>
    <phoneticPr fontId="1"/>
  </si>
  <si>
    <t>0.01wt% (100ppm)</t>
    <phoneticPr fontId="1"/>
  </si>
  <si>
    <t>Prohibited substances</t>
    <phoneticPr fontId="1"/>
  </si>
  <si>
    <t>Result of confirmation</t>
    <phoneticPr fontId="1"/>
  </si>
  <si>
    <t>threshold</t>
    <phoneticPr fontId="1"/>
  </si>
  <si>
    <t>Below</t>
    <phoneticPr fontId="1"/>
  </si>
  <si>
    <t>Above</t>
    <phoneticPr fontId="1"/>
  </si>
  <si>
    <t>Hexavalent chromium and its compounds</t>
    <phoneticPr fontId="1"/>
  </si>
  <si>
    <t>Polybromobiphenyls (PBBs)</t>
    <phoneticPr fontId="1"/>
  </si>
  <si>
    <t>Polybromodiphenylethers (PBDEs)</t>
    <phoneticPr fontId="1"/>
  </si>
  <si>
    <t>Asbestos</t>
    <phoneticPr fontId="1"/>
  </si>
  <si>
    <t>Radioactive Substances</t>
    <phoneticPr fontId="1"/>
  </si>
  <si>
    <t>Tetrabrombisphenol A (TBBPA)</t>
    <phoneticPr fontId="1"/>
  </si>
  <si>
    <t>&lt;Table 2&gt;</t>
  </si>
  <si>
    <t>&lt;Table 2&gt;</t>
    <phoneticPr fontId="1"/>
  </si>
  <si>
    <t>(threshold)</t>
    <phoneticPr fontId="1"/>
  </si>
  <si>
    <t>Allowable</t>
    <phoneticPr fontId="1"/>
  </si>
  <si>
    <t>Prohibited</t>
    <phoneticPr fontId="1"/>
  </si>
  <si>
    <t xml:space="preserve">Max. Tolerance </t>
    <phoneticPr fontId="1"/>
  </si>
  <si>
    <t xml:space="preserve">  Name:</t>
    <phoneticPr fontId="1"/>
  </si>
  <si>
    <t xml:space="preserve">  Company:</t>
    <phoneticPr fontId="1"/>
  </si>
  <si>
    <t xml:space="preserve">[ Responsible person ] </t>
    <phoneticPr fontId="1"/>
  </si>
  <si>
    <t>Date:</t>
    <phoneticPr fontId="1"/>
  </si>
  <si>
    <t>MM/DD/YY</t>
    <phoneticPr fontId="1"/>
  </si>
  <si>
    <t xml:space="preserve">Regarding the product or unit some portions of which are expected for direct and prolonged skin contact, </t>
    <phoneticPr fontId="1"/>
  </si>
  <si>
    <t>Information regarding inclusion of environment-related substances</t>
    <phoneticPr fontId="1"/>
  </si>
  <si>
    <t>Intended inclusion</t>
    <phoneticPr fontId="1"/>
  </si>
  <si>
    <t>Bis(tributyltin)=oxide (TBTO)</t>
    <phoneticPr fontId="1"/>
  </si>
  <si>
    <t>2. "Parts/units to be declared" column</t>
    <phoneticPr fontId="1"/>
  </si>
  <si>
    <t>- For parts/components or units, fill out the product name, and product number and/or series number.</t>
    <phoneticPr fontId="1"/>
  </si>
  <si>
    <t xml:space="preserve">  show additional sheets are attached.</t>
    <phoneticPr fontId="1"/>
  </si>
  <si>
    <t>: When the substance concerned is not intentionally contained.</t>
    <phoneticPr fontId="1"/>
  </si>
  <si>
    <t xml:space="preserve">- Intended inclusion Yes </t>
    <phoneticPr fontId="1"/>
  </si>
  <si>
    <t>4.  "Person filling out the sheet" column</t>
    <phoneticPr fontId="1"/>
  </si>
  <si>
    <t>(*2)</t>
    <phoneticPr fontId="1"/>
  </si>
  <si>
    <t>Flag</t>
    <phoneticPr fontId="1"/>
  </si>
  <si>
    <t>- Not included</t>
    <phoneticPr fontId="1"/>
  </si>
  <si>
    <t>- Included</t>
    <phoneticPr fontId="1"/>
  </si>
  <si>
    <t>Batteries and accumulators must comply with EU Battery Directives:</t>
    <phoneticPr fontId="1"/>
  </si>
  <si>
    <t>Name of substance</t>
    <phoneticPr fontId="1"/>
  </si>
  <si>
    <t>Chemical formula</t>
    <phoneticPr fontId="1"/>
  </si>
  <si>
    <t xml:space="preserve">  - The term "mechanically disjointed" means that the materials can be ,in principle, separated by mechanical actions such as  </t>
    <phoneticPr fontId="1"/>
  </si>
  <si>
    <t>- Enter the manufacturer’s name if the respondent’s company and the manufacturer are not the same.</t>
    <phoneticPr fontId="1"/>
  </si>
  <si>
    <t>-If any items are left unselected "Some items not selected" is displayed. Please confirm the message disappears.</t>
    <phoneticPr fontId="1"/>
  </si>
  <si>
    <t xml:space="preserve">  If all the portions of inclusion are those of intended inclusion, please select "below threshold".</t>
    <phoneticPr fontId="1"/>
  </si>
  <si>
    <t xml:space="preserve">  - The term "homogeneous material" means a material that cannot be mechanically disjointed into different materials.</t>
    <phoneticPr fontId="1"/>
  </si>
  <si>
    <t xml:space="preserve">such as the surface of the earphone, headset, portable device, remote control device, mouse and keyboard. </t>
    <phoneticPr fontId="1"/>
  </si>
  <si>
    <t>↓</t>
    <phoneticPr fontId="1"/>
  </si>
  <si>
    <t>Article name</t>
    <phoneticPr fontId="1"/>
  </si>
  <si>
    <t>含有なし</t>
    <phoneticPr fontId="1"/>
  </si>
  <si>
    <t>Not included</t>
    <phoneticPr fontId="1"/>
  </si>
  <si>
    <t>Included</t>
    <phoneticPr fontId="1"/>
  </si>
  <si>
    <t>use &lt;Table 1&gt;</t>
  </si>
  <si>
    <t>use</t>
  </si>
  <si>
    <t>: Although the substance concerned is contained, all the uses are allowable (exempted).</t>
  </si>
  <si>
    <t xml:space="preserve">   (Allowable use)</t>
  </si>
  <si>
    <t xml:space="preserve">  (Prohibited use)</t>
  </si>
  <si>
    <t xml:space="preserve">  (not an exempted use).</t>
  </si>
  <si>
    <t>- For intended inclusions (especially for allowable use), please describe the portion including the substance, and its use.</t>
  </si>
  <si>
    <t>- Condition for procurement: There shall be no "intended inclusion of prohibited use", or "above threshold" through</t>
  </si>
  <si>
    <t xml:space="preserve">Use other than described bellow.  Under the RoHS Directive.  </t>
    <phoneticPr fontId="1"/>
  </si>
  <si>
    <t>and all are exempted (allowable) use.</t>
  </si>
  <si>
    <t>All uses. Under the RoHS Directive.</t>
    <phoneticPr fontId="1"/>
  </si>
  <si>
    <t xml:space="preserve"> (Evaluation of  a part unit)</t>
    <phoneticPr fontId="1"/>
  </si>
  <si>
    <t xml:space="preserve">  Example:</t>
    <phoneticPr fontId="1"/>
  </si>
  <si>
    <t xml:space="preserve"> (Reply with the certified value)</t>
    <phoneticPr fontId="1"/>
  </si>
  <si>
    <t>Have the sub materials used in the processes of manufacturing or repair also been investigated? (Sub materials)</t>
    <phoneticPr fontId="1"/>
  </si>
  <si>
    <t>(Manufacturing consigned counterpart management)</t>
    <phoneticPr fontId="1"/>
  </si>
  <si>
    <t xml:space="preserve"> (Handling of a multi-resource etc.)</t>
    <phoneticPr fontId="1"/>
  </si>
  <si>
    <t>following? (Evaluation in each portion)</t>
    <phoneticPr fontId="1"/>
  </si>
  <si>
    <t xml:space="preserve">(The packaging restriction by EU Directive and by laws of several US states)  </t>
    <phoneticPr fontId="1"/>
  </si>
  <si>
    <t>- The reply sheet should be completed by the manufacturers or the suppliers of units, parts and components.</t>
    <phoneticPr fontId="1"/>
  </si>
  <si>
    <t>- Be specific on material number, grade and color for materials such as resins, paint and ink.</t>
    <phoneticPr fontId="1"/>
  </si>
  <si>
    <t xml:space="preserve">- Attach additional sheets when the object is multiple units, parts and components. Please enter (X) in the column to </t>
    <phoneticPr fontId="1"/>
  </si>
  <si>
    <t xml:space="preserve">  * Please submit a declaration sheet for each unit, part and component when the reply contents are different, even for the</t>
    <phoneticPr fontId="1"/>
  </si>
  <si>
    <t xml:space="preserve">  Please refer to Table 1 "Exempted uses (Allowable uses)"</t>
    <phoneticPr fontId="1"/>
  </si>
  <si>
    <t>: When the substance concerned is included and when there is at least one portion of prohibited use.</t>
    <phoneticPr fontId="1"/>
  </si>
  <si>
    <t>- Please enter the name, title, section, company, phone number and e-mail address of the person who filled out the sheet.</t>
    <phoneticPr fontId="1"/>
  </si>
  <si>
    <t>8. Others</t>
    <phoneticPr fontId="1"/>
  </si>
  <si>
    <t xml:space="preserve">Table 3       List of specific amines (generated by the decomposition of one or more azo group)
</t>
    <phoneticPr fontId="1"/>
  </si>
  <si>
    <t xml:space="preserve">  , when making entries on the sheet.</t>
    <phoneticPr fontId="1"/>
  </si>
  <si>
    <t>7. Remarks</t>
    <phoneticPr fontId="1"/>
  </si>
  <si>
    <t>homogenous material do not exceed 0.1wt%</t>
    <phoneticPr fontId="1"/>
  </si>
  <si>
    <t>Carbon tetrachloride</t>
    <phoneticPr fontId="1"/>
  </si>
  <si>
    <t>Methylbromide</t>
    <phoneticPr fontId="1"/>
  </si>
  <si>
    <t xml:space="preserve">               For prohibited use, please describe substitution plan with timeline.</t>
    <phoneticPr fontId="1"/>
  </si>
  <si>
    <t xml:space="preserve">-The main targets of the questionnaire are the packaging for individual supplied products or units. </t>
    <phoneticPr fontId="1"/>
  </si>
  <si>
    <t xml:space="preserve">-The main targets of the questionnaire are supplied products and units expected for direct and prolonged skin contact,   </t>
    <phoneticPr fontId="1"/>
  </si>
  <si>
    <t xml:space="preserve">When there are two or more portions (homogeneous materials) with an intended content, is it answered according to the </t>
    <phoneticPr fontId="1"/>
  </si>
  <si>
    <t>-Please choose "Prohibited use," if there is at least one portion of restricted use.</t>
    <phoneticPr fontId="1"/>
  </si>
  <si>
    <t xml:space="preserve">-Please choose “Allowable use”, in the case where there is absolutely no portion of prohibited use,  </t>
    <phoneticPr fontId="1"/>
  </si>
  <si>
    <t>-Where a difference appears in the contents of a reply among these, reply with the worst conditions for each substance.</t>
    <phoneticPr fontId="1"/>
  </si>
  <si>
    <t>-If the sample analysis results are less than the specified value (measured value), this is inadequate.</t>
    <phoneticPr fontId="1"/>
  </si>
  <si>
    <t>-Moreover, it is not satisfactory to only consider it as the management value of line management.</t>
    <phoneticPr fontId="1"/>
  </si>
  <si>
    <t>please regard this item as fulfilled.</t>
    <phoneticPr fontId="1"/>
  </si>
  <si>
    <t>please regard this item as fulfilled.  The supplier may have another inquirer dedicated to packaging  based on our necessity.</t>
    <phoneticPr fontId="1"/>
  </si>
  <si>
    <t>Lead 300ppm or less</t>
    <phoneticPr fontId="1"/>
  </si>
  <si>
    <t>Lead above 300ppm</t>
    <phoneticPr fontId="1"/>
  </si>
  <si>
    <t>concentration</t>
  </si>
  <si>
    <t xml:space="preserve">Concentration of impurities </t>
    <phoneticPr fontId="1"/>
  </si>
  <si>
    <t xml:space="preserve">The accumulated concentration of lead, cadmium, mercury and hexavalent chromium by portion of packaging materials. </t>
  </si>
  <si>
    <t>(*2) Maximum tolerance concentration as impurities of each substance is defined as the weight percentage in homogeneous materials.</t>
  </si>
  <si>
    <t>Maximum tolerance concentration means that all supplied parts do not exceed this figure (certified value).  Are you sure?</t>
  </si>
  <si>
    <t xml:space="preserve">concentration of cadmium, hexavalent chromium, lead, mercury and their compounds at any portion of those packaging </t>
  </si>
  <si>
    <t xml:space="preserve">-It is required any type of PBDE, including Deca-BDE, is not used and the accumulated concentration of all PBDEs by the </t>
  </si>
  <si>
    <t>-  Concentration of impurities</t>
    <phoneticPr fontId="1"/>
  </si>
  <si>
    <t xml:space="preserve">As to the maximum tolerance concentration, does the definition of the "homogeneous material" agree with the following </t>
    <phoneticPr fontId="1"/>
  </si>
  <si>
    <t>description? (Definition of maximum tolerance concentration)</t>
    <phoneticPr fontId="1"/>
  </si>
  <si>
    <t>Table 4       Ozone depleting substances (ODS)</t>
    <phoneticPr fontId="1"/>
  </si>
  <si>
    <t>: If PVC is included and concentration of lead in the PVC is above 300ppm.</t>
    <phoneticPr fontId="1"/>
  </si>
  <si>
    <t>: If PVC is included and concentration of lead in the PVC is 300ppm or less.</t>
    <phoneticPr fontId="1"/>
  </si>
  <si>
    <t>(*3) Maximum tolerance concentration of metal compounds is defined as the weight percentage of metal element in homogeneous materials.</t>
    <phoneticPr fontId="1"/>
  </si>
  <si>
    <t xml:space="preserve">        e.g.) In the case of cadmium and its compound the concentration relates to the cadmium element. 
</t>
    <phoneticPr fontId="1"/>
  </si>
  <si>
    <t xml:space="preserve">(*4) Maximum tolerance concentration of PBDE is defined as the accumulated concentration of all PBDEs, including Deca-BDE, </t>
    <phoneticPr fontId="1"/>
  </si>
  <si>
    <t xml:space="preserve">        in the homogenous materials.</t>
    <phoneticPr fontId="1"/>
  </si>
  <si>
    <t xml:space="preserve"> Note: In case of chromate treatment, homogeneous material of the coating is defined as only chromate conversion coating, </t>
    <phoneticPr fontId="1"/>
  </si>
  <si>
    <t xml:space="preserve">           not including any base metal.</t>
    <phoneticPr fontId="1"/>
  </si>
  <si>
    <t xml:space="preserve">the portions ("homogeneous materials") that make up the product and that it is below the "threshold value"?    </t>
    <phoneticPr fontId="1"/>
  </si>
  <si>
    <t>Has a check that the impurity concentration does not exceed the maximum tolerance concentration been carried out on all</t>
    <phoneticPr fontId="1"/>
  </si>
  <si>
    <t>Maximum tolerance concentration(*2)(*3)</t>
    <phoneticPr fontId="1"/>
  </si>
  <si>
    <t>0.1wt% (1000ppm)(*4)</t>
    <phoneticPr fontId="1"/>
  </si>
  <si>
    <t>Lead in PVC. Under US California law (Proposition 65). (*5)</t>
    <phoneticPr fontId="1"/>
  </si>
  <si>
    <t>(*5) Marking on the product is required if concentration of lead in PVC is more than 300ppm. The maximum tolerance concentration is not for prohibition.</t>
    <phoneticPr fontId="1"/>
  </si>
  <si>
    <t xml:space="preserve">The use of Deca-BDE is prohibited. It is now also restricted by the RoHS Directive. </t>
    <phoneticPr fontId="1"/>
  </si>
  <si>
    <t>Polychlorobiphenyls (PCBs) / Polychlorinated terphenyls (PCTs)</t>
    <phoneticPr fontId="1"/>
  </si>
  <si>
    <t xml:space="preserve">   It is of course a precondition that the substances as impurities are understood and the concentrations are controlled.</t>
    <phoneticPr fontId="1"/>
  </si>
  <si>
    <t xml:space="preserve">(*2) For batteries and accumulators, the EU Battery Directives are prior to Table 1.    </t>
    <phoneticPr fontId="1"/>
  </si>
  <si>
    <t>Hexavalent chromium compounds</t>
    <phoneticPr fontId="1"/>
  </si>
  <si>
    <t>nickel (Ni) is not used on the surface. (REACH ANNEX XVII(former: EU Directive 76/769/EEC)</t>
    <phoneticPr fontId="1"/>
  </si>
  <si>
    <t>Substances to be reduced</t>
    <phoneticPr fontId="1"/>
  </si>
  <si>
    <t>&lt;Table 2&gt;</t>
    <phoneticPr fontId="1"/>
  </si>
  <si>
    <t>&lt;Remarks&gt;For intended inclusion (especially for allowable use including that with expiration date), please describe each portion and exemption No..</t>
    <phoneticPr fontId="1"/>
  </si>
  <si>
    <t>Certain polycyclic aromatic hydrocarbons (PAHs)</t>
    <phoneticPr fontId="1"/>
  </si>
  <si>
    <t>Dibutyl phthalate (DBP)</t>
    <phoneticPr fontId="1"/>
  </si>
  <si>
    <r>
      <t>*For allowable use with expiration date, please chose "Prohibited use" with remark. Supply before the expiration date is allowed.</t>
    </r>
    <r>
      <rPr>
        <sz val="11"/>
        <rFont val="ＭＳ Ｐゴシック"/>
        <family val="2"/>
        <charset val="128"/>
      </rPr>
      <t/>
    </r>
    <phoneticPr fontId="1"/>
  </si>
  <si>
    <t>Table 2       Maximum tolerance concentration of impurities</t>
    <phoneticPr fontId="1"/>
  </si>
  <si>
    <t>7(c)-IV</t>
    <phoneticPr fontId="1"/>
  </si>
  <si>
    <t>Lead in PZT based dielectric ceramic materials for capacitors being part of integrated circuits or discrete semiconductors</t>
    <phoneticPr fontId="1"/>
  </si>
  <si>
    <t xml:space="preserve">  (Regarding the value of Maximum tolerance concentration of impurities, please refer to Table 2.)</t>
    <phoneticPr fontId="1"/>
  </si>
  <si>
    <t xml:space="preserve">  At least concentration of each substance in components of the article must not exceed a maximum tolerance concentration of impurities </t>
    <phoneticPr fontId="1"/>
  </si>
  <si>
    <t>All uses. Under the RoHS Directive.</t>
  </si>
  <si>
    <t>All uses. Under the RoHS Directive.</t>
    <phoneticPr fontId="1"/>
  </si>
  <si>
    <t>0.1wt% (1000ppm)</t>
    <phoneticPr fontId="1"/>
  </si>
  <si>
    <t>0.0001wt% (1ppm)</t>
    <phoneticPr fontId="1"/>
  </si>
  <si>
    <t>Rubber or plastic components that come into direct as well as prolonged or short-term repetitive contact with the human skin or the oral cavity</t>
    <phoneticPr fontId="1"/>
  </si>
  <si>
    <t>Bis (2-ethylhexyl) phthalate (DEHP)</t>
    <phoneticPr fontId="1"/>
  </si>
  <si>
    <t>Butyl benzyl phthalate 
(BBP)</t>
    <phoneticPr fontId="1"/>
  </si>
  <si>
    <t>Diisobutyl phthalate 
(DIBP)</t>
    <phoneticPr fontId="1"/>
  </si>
  <si>
    <t>Benzo[a]pyrene (BaP)</t>
    <phoneticPr fontId="1"/>
  </si>
  <si>
    <t>Benzo[e]pyrene (BeP)</t>
    <phoneticPr fontId="1"/>
  </si>
  <si>
    <t>Benzo[a]anthracene (BaA)</t>
    <phoneticPr fontId="1"/>
  </si>
  <si>
    <t>Chrysen (CHR)</t>
    <phoneticPr fontId="1"/>
  </si>
  <si>
    <t>Benzo[b]fluoranthene (BbFA)</t>
    <phoneticPr fontId="1"/>
  </si>
  <si>
    <t>Benzo[j]fluoranthene (BjFA)</t>
    <phoneticPr fontId="1"/>
  </si>
  <si>
    <t>Benzo[k]fluoranthene (BkFA)</t>
    <phoneticPr fontId="1"/>
  </si>
  <si>
    <t>Dibenzo[a,h]anthracene (DBAhA)</t>
    <phoneticPr fontId="1"/>
  </si>
  <si>
    <t>CAS No.</t>
    <phoneticPr fontId="1"/>
  </si>
  <si>
    <t>50-32-8</t>
    <phoneticPr fontId="1"/>
  </si>
  <si>
    <t>192-97-2</t>
    <phoneticPr fontId="1"/>
  </si>
  <si>
    <t>56-55-3</t>
    <phoneticPr fontId="1"/>
  </si>
  <si>
    <t>218-01-9</t>
    <phoneticPr fontId="1"/>
  </si>
  <si>
    <t>205-99-2</t>
    <phoneticPr fontId="1"/>
  </si>
  <si>
    <t>205-82-3</t>
    <phoneticPr fontId="1"/>
  </si>
  <si>
    <t>207-08-9</t>
    <phoneticPr fontId="1"/>
  </si>
  <si>
    <t>53-70-3</t>
    <phoneticPr fontId="1"/>
  </si>
  <si>
    <t>Certain polycyclic aromatic hydrocarbons (PAHs) &lt;Table 5&gt;</t>
    <phoneticPr fontId="1"/>
  </si>
  <si>
    <t xml:space="preserve">  For allowable use with expiration date, please chose this column.</t>
    <phoneticPr fontId="1"/>
  </si>
  <si>
    <t xml:space="preserve">  For allowable use with expiration date, please chose not this but "Prohibited use"</t>
    <phoneticPr fontId="1"/>
  </si>
  <si>
    <t>Use restricted by EU chemical substances restriction REACH ANNEX XVII
(former: EU Directive 76/769/EEC and its amendments.)</t>
    <phoneticPr fontId="1"/>
  </si>
  <si>
    <t>Table 5       Certain polycyclic aromatic hydrocarbons (PAHs)</t>
    <phoneticPr fontId="1"/>
  </si>
  <si>
    <t>Red Phosphorous</t>
    <phoneticPr fontId="1"/>
  </si>
  <si>
    <t>Rev11 ｸﾞﾘｰﾝ</t>
    <phoneticPr fontId="1"/>
  </si>
  <si>
    <t>Rev10　ｸﾞﾘｰﾝ</t>
    <phoneticPr fontId="1"/>
  </si>
  <si>
    <t>その他フラグ</t>
    <rPh sb="2" eb="3">
      <t>タ</t>
    </rPh>
    <phoneticPr fontId="1"/>
  </si>
  <si>
    <t>(*2)Please attach additional sheets when the applicable articles are multiple. (Check the box "Additional sheet")</t>
    <phoneticPr fontId="1"/>
  </si>
  <si>
    <t>(*1)If requested</t>
    <phoneticPr fontId="1"/>
  </si>
  <si>
    <t>Manufacturer’s name (if different from person filling), Product code/Series number</t>
    <phoneticPr fontId="1"/>
  </si>
  <si>
    <t>Use/Non-use Declaration of Environment-related Substances</t>
    <phoneticPr fontId="1"/>
  </si>
  <si>
    <t>[ Parts/units to be declared]</t>
    <phoneticPr fontId="1"/>
  </si>
  <si>
    <t>[ Person filling out the sheet ]</t>
    <phoneticPr fontId="1"/>
  </si>
  <si>
    <t>- Please read the attached Table 6 "Check list for Completing the Use/Nonuse Declaration of Environment-related Substances"</t>
    <phoneticPr fontId="1"/>
  </si>
  <si>
    <t>- Please reply to indicate the inclusion of environment-related substances (24 substances).</t>
    <phoneticPr fontId="1"/>
  </si>
  <si>
    <t xml:space="preserve">  Please also report the results of checklist table 6</t>
    <phoneticPr fontId="1"/>
  </si>
  <si>
    <t>- For substances 1-10 (restricted by the RoHS Directive) and 20, please click and select one button for the impurities inclusion concentration.</t>
    <phoneticPr fontId="1"/>
  </si>
  <si>
    <t>Which alternative to select (Substance 1-21: Prohibited substances) :</t>
    <phoneticPr fontId="1"/>
  </si>
  <si>
    <t>Which alternative to select (Substance22-24: Substances to be reduced)</t>
    <phoneticPr fontId="1"/>
  </si>
  <si>
    <t xml:space="preserve">: When the substance concerned is intentionally included. For substance 22 (PVC) please select one out of following two.  </t>
    <phoneticPr fontId="1"/>
  </si>
  <si>
    <t>substance22(PVC)</t>
    <phoneticPr fontId="1"/>
  </si>
  <si>
    <t xml:space="preserve">Which alternative to select (Item 25: Compliance with the attached check list) </t>
    <phoneticPr fontId="1"/>
  </si>
  <si>
    <t xml:space="preserve">: When all items of the check list Table 6 are fulfilled. </t>
    <phoneticPr fontId="1"/>
  </si>
  <si>
    <t xml:space="preserve">: When at least one item of the check list Table 6 is not fulfilled. </t>
    <phoneticPr fontId="1"/>
  </si>
  <si>
    <r>
      <t xml:space="preserve">Mercury in single capped (compact) fluorescent lamps not exceeding (per burner):
a) For general lighting purposes &lt; 30 W: 2.5 mg
b) For general lighting purposes </t>
    </r>
    <r>
      <rPr>
        <sz val="9"/>
        <color indexed="8"/>
        <rFont val="ＭＳ Ｐ明朝"/>
        <family val="1"/>
        <charset val="128"/>
      </rPr>
      <t>≥</t>
    </r>
    <r>
      <rPr>
        <sz val="9"/>
        <color indexed="8"/>
        <rFont val="Times New Roman"/>
        <family val="1"/>
      </rPr>
      <t xml:space="preserve"> 30 W and &lt; 50 W: 3.5mg
c) For general lighting purposes </t>
    </r>
    <r>
      <rPr>
        <sz val="9"/>
        <color indexed="8"/>
        <rFont val="ＭＳ Ｐ明朝"/>
        <family val="1"/>
        <charset val="128"/>
      </rPr>
      <t>≥</t>
    </r>
    <r>
      <rPr>
        <sz val="9"/>
        <color indexed="8"/>
        <rFont val="Times New Roman"/>
        <family val="1"/>
      </rPr>
      <t xml:space="preserve"> 50 W and &lt; 150 W: 5 mg
d) For general lighting purposes </t>
    </r>
    <r>
      <rPr>
        <sz val="9"/>
        <color indexed="8"/>
        <rFont val="ＭＳ Ｐ明朝"/>
        <family val="1"/>
        <charset val="128"/>
      </rPr>
      <t>≥</t>
    </r>
    <r>
      <rPr>
        <sz val="9"/>
        <color indexed="8"/>
        <rFont val="Times New Roman"/>
        <family val="1"/>
      </rPr>
      <t xml:space="preserve"> 150 W: 15 mg
e) For general lighting purposes with circular or square structural shape and tube diameter </t>
    </r>
    <r>
      <rPr>
        <sz val="9"/>
        <color indexed="8"/>
        <rFont val="ＭＳ Ｐ明朝"/>
        <family val="1"/>
        <charset val="128"/>
      </rPr>
      <t>≤</t>
    </r>
    <r>
      <rPr>
        <sz val="9"/>
        <color indexed="8"/>
        <rFont val="Times New Roman"/>
        <family val="1"/>
      </rPr>
      <t xml:space="preserve"> 17 mm: 7mg
f) For special purposes: 5 mg</t>
    </r>
    <phoneticPr fontId="1"/>
  </si>
  <si>
    <r>
      <t xml:space="preserve"> Mercury in double-capped linear fluorescent lamps for general lighting purposes not exceeding (per lamp):
a) Tri-band phosphor with normal lifetime and a tube diameter &lt; 9 mm (e.g. T2): 4mg
b) Tri-band phosphor with normal lifetime and a tube diameter </t>
    </r>
    <r>
      <rPr>
        <sz val="9"/>
        <color indexed="8"/>
        <rFont val="ＭＳ Ｐ明朝"/>
        <family val="1"/>
        <charset val="128"/>
      </rPr>
      <t>≥</t>
    </r>
    <r>
      <rPr>
        <sz val="9"/>
        <color indexed="8"/>
        <rFont val="Times New Roman"/>
        <family val="1"/>
      </rPr>
      <t xml:space="preserve"> 9 mm and </t>
    </r>
    <r>
      <rPr>
        <sz val="9"/>
        <color indexed="8"/>
        <rFont val="ＭＳ Ｐ明朝"/>
        <family val="1"/>
        <charset val="128"/>
      </rPr>
      <t>≤</t>
    </r>
    <r>
      <rPr>
        <sz val="9"/>
        <color indexed="8"/>
        <rFont val="Times New Roman"/>
        <family val="1"/>
      </rPr>
      <t xml:space="preserve"> 17 mm (e.g. T5): 3mg
c) Tri-band phosphor with normal lifetime and a tube diameter &gt; 17 mm and </t>
    </r>
    <r>
      <rPr>
        <sz val="9"/>
        <color indexed="8"/>
        <rFont val="ＭＳ Ｐ明朝"/>
        <family val="1"/>
        <charset val="128"/>
      </rPr>
      <t>≤</t>
    </r>
    <r>
      <rPr>
        <sz val="9"/>
        <color indexed="8"/>
        <rFont val="Times New Roman"/>
        <family val="1"/>
      </rPr>
      <t xml:space="preserve"> 28 mm (e.g. T8): 3.5mg
d) Tri-band phosphor with normal lifetime and a tube diameter &gt; 28 mm (e.g. T12): 3.5mg
e) Tri-band phosphor with long lifetime (</t>
    </r>
    <r>
      <rPr>
        <sz val="9"/>
        <color indexed="8"/>
        <rFont val="ＭＳ Ｐ明朝"/>
        <family val="1"/>
        <charset val="128"/>
      </rPr>
      <t>≥</t>
    </r>
    <r>
      <rPr>
        <sz val="9"/>
        <color indexed="8"/>
        <rFont val="Times New Roman"/>
        <family val="1"/>
      </rPr>
      <t xml:space="preserve"> 25 000 h): 5mg
</t>
    </r>
    <phoneticPr fontId="1"/>
  </si>
  <si>
    <r>
      <t>Mercury in cold cathode fluorescent lamps and external electrode fluorescent lamps (CCFL and EEFL) for special purposes not exceeding (per lamp):
a) Short length (</t>
    </r>
    <r>
      <rPr>
        <sz val="9"/>
        <color indexed="8"/>
        <rFont val="ＭＳ Ｐ明朝"/>
        <family val="1"/>
        <charset val="128"/>
      </rPr>
      <t>≤</t>
    </r>
    <r>
      <rPr>
        <sz val="9"/>
        <color indexed="8"/>
        <rFont val="Times New Roman"/>
        <family val="1"/>
      </rPr>
      <t xml:space="preserve"> 500 mm)                                  3.5mg
b) Medium length (&gt; 500 mm and </t>
    </r>
    <r>
      <rPr>
        <sz val="9"/>
        <color indexed="8"/>
        <rFont val="ＭＳ Ｐ明朝"/>
        <family val="1"/>
        <charset val="128"/>
      </rPr>
      <t>≤</t>
    </r>
    <r>
      <rPr>
        <sz val="9"/>
        <color indexed="8"/>
        <rFont val="Times New Roman"/>
        <family val="1"/>
      </rPr>
      <t xml:space="preserve"> 1 500 mm)     5mg
c) Long length (&gt; 1 500 mm)                                 13mg
</t>
    </r>
    <phoneticPr fontId="1"/>
  </si>
  <si>
    <t xml:space="preserve">(*6) For batteries and accumulators, the EU Battery Directives (2006/66/EC, 91/157/EEC, and 2013/56/EU) are prior to Table 2.    </t>
    <phoneticPr fontId="1"/>
  </si>
  <si>
    <r>
      <t>C</t>
    </r>
    <r>
      <rPr>
        <vertAlign val="subscript"/>
        <sz val="9"/>
        <color indexed="8"/>
        <rFont val="Times New Roman"/>
        <family val="1"/>
      </rPr>
      <t>12</t>
    </r>
    <r>
      <rPr>
        <sz val="9"/>
        <color indexed="8"/>
        <rFont val="Times New Roman"/>
        <family val="1"/>
      </rPr>
      <t>H</t>
    </r>
    <r>
      <rPr>
        <vertAlign val="subscript"/>
        <sz val="9"/>
        <color indexed="8"/>
        <rFont val="Times New Roman"/>
        <family val="1"/>
      </rPr>
      <t>11</t>
    </r>
    <r>
      <rPr>
        <sz val="9"/>
        <color indexed="8"/>
        <rFont val="Times New Roman"/>
        <family val="1"/>
      </rPr>
      <t>N</t>
    </r>
    <r>
      <rPr>
        <vertAlign val="subscript"/>
        <sz val="9"/>
        <color indexed="8"/>
        <rFont val="Times New Roman"/>
        <family val="1"/>
      </rPr>
      <t>3</t>
    </r>
    <phoneticPr fontId="1"/>
  </si>
  <si>
    <r>
      <t>C</t>
    </r>
    <r>
      <rPr>
        <vertAlign val="subscript"/>
        <sz val="9"/>
        <color indexed="8"/>
        <rFont val="Times New Roman"/>
        <family val="1"/>
      </rPr>
      <t>7</t>
    </r>
    <r>
      <rPr>
        <sz val="9"/>
        <color indexed="8"/>
        <rFont val="Times New Roman"/>
        <family val="1"/>
      </rPr>
      <t>H</t>
    </r>
    <r>
      <rPr>
        <vertAlign val="subscript"/>
        <sz val="9"/>
        <color indexed="8"/>
        <rFont val="Times New Roman"/>
        <family val="1"/>
      </rPr>
      <t>9</t>
    </r>
    <r>
      <rPr>
        <sz val="9"/>
        <color indexed="8"/>
        <rFont val="Times New Roman"/>
        <family val="1"/>
      </rPr>
      <t>NO</t>
    </r>
  </si>
  <si>
    <r>
      <t>C</t>
    </r>
    <r>
      <rPr>
        <vertAlign val="subscript"/>
        <sz val="9"/>
        <color indexed="8"/>
        <rFont val="Times New Roman"/>
        <family val="1"/>
      </rPr>
      <t>10</t>
    </r>
    <r>
      <rPr>
        <sz val="9"/>
        <color indexed="8"/>
        <rFont val="Times New Roman"/>
        <family val="1"/>
      </rPr>
      <t>H</t>
    </r>
    <r>
      <rPr>
        <vertAlign val="subscript"/>
        <sz val="9"/>
        <color indexed="8"/>
        <rFont val="Times New Roman"/>
        <family val="1"/>
      </rPr>
      <t>9</t>
    </r>
    <r>
      <rPr>
        <sz val="9"/>
        <color indexed="8"/>
        <rFont val="Times New Roman"/>
        <family val="1"/>
      </rPr>
      <t>N</t>
    </r>
  </si>
  <si>
    <r>
      <t>C</t>
    </r>
    <r>
      <rPr>
        <vertAlign val="subscript"/>
        <sz val="9"/>
        <color indexed="8"/>
        <rFont val="Times New Roman"/>
        <family val="1"/>
      </rPr>
      <t>12</t>
    </r>
    <r>
      <rPr>
        <sz val="9"/>
        <color indexed="8"/>
        <rFont val="Times New Roman"/>
        <family val="1"/>
      </rPr>
      <t>H</t>
    </r>
    <r>
      <rPr>
        <vertAlign val="subscript"/>
        <sz val="9"/>
        <color indexed="8"/>
        <rFont val="Times New Roman"/>
        <family val="1"/>
      </rPr>
      <t>10</t>
    </r>
    <r>
      <rPr>
        <sz val="9"/>
        <color indexed="8"/>
        <rFont val="Times New Roman"/>
        <family val="1"/>
      </rPr>
      <t>Cl</t>
    </r>
    <r>
      <rPr>
        <vertAlign val="subscript"/>
        <sz val="9"/>
        <color indexed="8"/>
        <rFont val="Times New Roman"/>
        <family val="1"/>
      </rPr>
      <t>2</t>
    </r>
    <r>
      <rPr>
        <sz val="9"/>
        <color indexed="8"/>
        <rFont val="Times New Roman"/>
        <family val="1"/>
      </rPr>
      <t>N</t>
    </r>
    <r>
      <rPr>
        <vertAlign val="subscript"/>
        <sz val="9"/>
        <color indexed="8"/>
        <rFont val="Times New Roman"/>
        <family val="1"/>
      </rPr>
      <t>2</t>
    </r>
  </si>
  <si>
    <r>
      <t>C</t>
    </r>
    <r>
      <rPr>
        <vertAlign val="subscript"/>
        <sz val="9"/>
        <color indexed="8"/>
        <rFont val="Times New Roman"/>
        <family val="1"/>
      </rPr>
      <t>12</t>
    </r>
    <r>
      <rPr>
        <sz val="9"/>
        <color indexed="8"/>
        <rFont val="Times New Roman"/>
        <family val="1"/>
      </rPr>
      <t>H</t>
    </r>
    <r>
      <rPr>
        <vertAlign val="subscript"/>
        <sz val="9"/>
        <color indexed="8"/>
        <rFont val="Times New Roman"/>
        <family val="1"/>
      </rPr>
      <t>11</t>
    </r>
    <r>
      <rPr>
        <sz val="9"/>
        <color indexed="8"/>
        <rFont val="Times New Roman"/>
        <family val="1"/>
      </rPr>
      <t>N</t>
    </r>
  </si>
  <si>
    <r>
      <t>C</t>
    </r>
    <r>
      <rPr>
        <vertAlign val="subscript"/>
        <sz val="9"/>
        <color indexed="8"/>
        <rFont val="Times New Roman"/>
        <family val="1"/>
      </rPr>
      <t>12</t>
    </r>
    <r>
      <rPr>
        <sz val="9"/>
        <color indexed="8"/>
        <rFont val="Times New Roman"/>
        <family val="1"/>
      </rPr>
      <t>H</t>
    </r>
    <r>
      <rPr>
        <vertAlign val="subscript"/>
        <sz val="9"/>
        <color indexed="8"/>
        <rFont val="Times New Roman"/>
        <family val="1"/>
      </rPr>
      <t>12</t>
    </r>
    <r>
      <rPr>
        <sz val="9"/>
        <color indexed="8"/>
        <rFont val="Times New Roman"/>
        <family val="1"/>
      </rPr>
      <t>N</t>
    </r>
    <r>
      <rPr>
        <vertAlign val="subscript"/>
        <sz val="9"/>
        <color indexed="8"/>
        <rFont val="Times New Roman"/>
        <family val="1"/>
      </rPr>
      <t>2</t>
    </r>
  </si>
  <si>
    <r>
      <t>C</t>
    </r>
    <r>
      <rPr>
        <vertAlign val="subscript"/>
        <sz val="9"/>
        <color indexed="8"/>
        <rFont val="Times New Roman"/>
        <family val="1"/>
      </rPr>
      <t>7</t>
    </r>
    <r>
      <rPr>
        <sz val="9"/>
        <color indexed="8"/>
        <rFont val="Times New Roman"/>
        <family val="1"/>
      </rPr>
      <t>H</t>
    </r>
    <r>
      <rPr>
        <vertAlign val="subscript"/>
        <sz val="9"/>
        <color indexed="8"/>
        <rFont val="Times New Roman"/>
        <family val="1"/>
      </rPr>
      <t>9</t>
    </r>
    <r>
      <rPr>
        <sz val="9"/>
        <color indexed="8"/>
        <rFont val="Times New Roman"/>
        <family val="1"/>
      </rPr>
      <t>N</t>
    </r>
  </si>
  <si>
    <r>
      <t>C</t>
    </r>
    <r>
      <rPr>
        <vertAlign val="subscript"/>
        <sz val="9"/>
        <color indexed="8"/>
        <rFont val="Times New Roman"/>
        <family val="1"/>
      </rPr>
      <t>7</t>
    </r>
    <r>
      <rPr>
        <sz val="9"/>
        <color indexed="8"/>
        <rFont val="Times New Roman"/>
        <family val="1"/>
      </rPr>
      <t>H</t>
    </r>
    <r>
      <rPr>
        <vertAlign val="subscript"/>
        <sz val="9"/>
        <color indexed="8"/>
        <rFont val="Times New Roman"/>
        <family val="1"/>
      </rPr>
      <t>8</t>
    </r>
    <r>
      <rPr>
        <sz val="9"/>
        <color indexed="8"/>
        <rFont val="Times New Roman"/>
        <family val="1"/>
      </rPr>
      <t>ClN</t>
    </r>
  </si>
  <si>
    <r>
      <t>C</t>
    </r>
    <r>
      <rPr>
        <vertAlign val="subscript"/>
        <sz val="9"/>
        <color indexed="8"/>
        <rFont val="Times New Roman"/>
        <family val="1"/>
      </rPr>
      <t>7</t>
    </r>
    <r>
      <rPr>
        <sz val="9"/>
        <color indexed="8"/>
        <rFont val="Times New Roman"/>
        <family val="1"/>
      </rPr>
      <t>H</t>
    </r>
    <r>
      <rPr>
        <vertAlign val="subscript"/>
        <sz val="9"/>
        <color indexed="8"/>
        <rFont val="Times New Roman"/>
        <family val="1"/>
      </rPr>
      <t>10</t>
    </r>
    <r>
      <rPr>
        <sz val="9"/>
        <color indexed="8"/>
        <rFont val="Times New Roman"/>
        <family val="1"/>
      </rPr>
      <t>N</t>
    </r>
    <r>
      <rPr>
        <vertAlign val="subscript"/>
        <sz val="9"/>
        <color indexed="8"/>
        <rFont val="Times New Roman"/>
        <family val="1"/>
      </rPr>
      <t>2</t>
    </r>
  </si>
  <si>
    <r>
      <t>C</t>
    </r>
    <r>
      <rPr>
        <vertAlign val="subscript"/>
        <sz val="9"/>
        <color indexed="8"/>
        <rFont val="Times New Roman"/>
        <family val="1"/>
      </rPr>
      <t>14</t>
    </r>
    <r>
      <rPr>
        <sz val="9"/>
        <color indexed="8"/>
        <rFont val="Times New Roman"/>
        <family val="1"/>
      </rPr>
      <t>H</t>
    </r>
    <r>
      <rPr>
        <vertAlign val="subscript"/>
        <sz val="9"/>
        <color indexed="8"/>
        <rFont val="Times New Roman"/>
        <family val="1"/>
      </rPr>
      <t>15</t>
    </r>
    <r>
      <rPr>
        <sz val="9"/>
        <color indexed="8"/>
        <rFont val="Times New Roman"/>
        <family val="1"/>
      </rPr>
      <t>N</t>
    </r>
    <r>
      <rPr>
        <vertAlign val="subscript"/>
        <sz val="9"/>
        <color indexed="8"/>
        <rFont val="Times New Roman"/>
        <family val="1"/>
      </rPr>
      <t>3</t>
    </r>
  </si>
  <si>
    <r>
      <t>C</t>
    </r>
    <r>
      <rPr>
        <vertAlign val="subscript"/>
        <sz val="9"/>
        <color indexed="8"/>
        <rFont val="Times New Roman"/>
        <family val="1"/>
      </rPr>
      <t>7</t>
    </r>
    <r>
      <rPr>
        <sz val="9"/>
        <color indexed="8"/>
        <rFont val="Times New Roman"/>
        <family val="1"/>
      </rPr>
      <t>H</t>
    </r>
    <r>
      <rPr>
        <vertAlign val="subscript"/>
        <sz val="9"/>
        <color indexed="8"/>
        <rFont val="Times New Roman"/>
        <family val="1"/>
      </rPr>
      <t>8</t>
    </r>
    <r>
      <rPr>
        <sz val="9"/>
        <color indexed="8"/>
        <rFont val="Times New Roman"/>
        <family val="1"/>
      </rPr>
      <t>N</t>
    </r>
    <r>
      <rPr>
        <vertAlign val="subscript"/>
        <sz val="9"/>
        <color indexed="8"/>
        <rFont val="Times New Roman"/>
        <family val="1"/>
      </rPr>
      <t>2</t>
    </r>
    <r>
      <rPr>
        <sz val="9"/>
        <color indexed="8"/>
        <rFont val="Times New Roman"/>
        <family val="1"/>
      </rPr>
      <t>O</t>
    </r>
    <r>
      <rPr>
        <vertAlign val="subscript"/>
        <sz val="9"/>
        <color indexed="8"/>
        <rFont val="Times New Roman"/>
        <family val="1"/>
      </rPr>
      <t>2</t>
    </r>
  </si>
  <si>
    <r>
      <t>C</t>
    </r>
    <r>
      <rPr>
        <vertAlign val="subscript"/>
        <sz val="9"/>
        <color indexed="8"/>
        <rFont val="Times New Roman"/>
        <family val="1"/>
      </rPr>
      <t>13</t>
    </r>
    <r>
      <rPr>
        <sz val="9"/>
        <color indexed="8"/>
        <rFont val="Times New Roman"/>
        <family val="1"/>
      </rPr>
      <t>H</t>
    </r>
    <r>
      <rPr>
        <vertAlign val="subscript"/>
        <sz val="9"/>
        <color indexed="8"/>
        <rFont val="Times New Roman"/>
        <family val="1"/>
      </rPr>
      <t>12</t>
    </r>
    <r>
      <rPr>
        <sz val="9"/>
        <color indexed="8"/>
        <rFont val="Times New Roman"/>
        <family val="1"/>
      </rPr>
      <t>Cl</t>
    </r>
    <r>
      <rPr>
        <vertAlign val="subscript"/>
        <sz val="9"/>
        <color indexed="8"/>
        <rFont val="Times New Roman"/>
        <family val="1"/>
      </rPr>
      <t>2</t>
    </r>
    <r>
      <rPr>
        <sz val="9"/>
        <color indexed="8"/>
        <rFont val="Times New Roman"/>
        <family val="1"/>
      </rPr>
      <t>N</t>
    </r>
    <r>
      <rPr>
        <vertAlign val="subscript"/>
        <sz val="9"/>
        <color indexed="8"/>
        <rFont val="Times New Roman"/>
        <family val="1"/>
      </rPr>
      <t>2</t>
    </r>
  </si>
  <si>
    <r>
      <t>C</t>
    </r>
    <r>
      <rPr>
        <vertAlign val="subscript"/>
        <sz val="9"/>
        <color indexed="8"/>
        <rFont val="Times New Roman"/>
        <family val="1"/>
      </rPr>
      <t>13</t>
    </r>
    <r>
      <rPr>
        <sz val="9"/>
        <color indexed="8"/>
        <rFont val="Times New Roman"/>
        <family val="1"/>
      </rPr>
      <t>H</t>
    </r>
    <r>
      <rPr>
        <vertAlign val="subscript"/>
        <sz val="9"/>
        <color indexed="8"/>
        <rFont val="Times New Roman"/>
        <family val="1"/>
      </rPr>
      <t>14</t>
    </r>
    <r>
      <rPr>
        <sz val="9"/>
        <color indexed="8"/>
        <rFont val="Times New Roman"/>
        <family val="1"/>
      </rPr>
      <t>N</t>
    </r>
    <r>
      <rPr>
        <vertAlign val="subscript"/>
        <sz val="9"/>
        <color indexed="8"/>
        <rFont val="Times New Roman"/>
        <family val="1"/>
      </rPr>
      <t>2</t>
    </r>
  </si>
  <si>
    <r>
      <t>C</t>
    </r>
    <r>
      <rPr>
        <vertAlign val="subscript"/>
        <sz val="9"/>
        <color indexed="8"/>
        <rFont val="Times New Roman"/>
        <family val="1"/>
      </rPr>
      <t>12</t>
    </r>
    <r>
      <rPr>
        <sz val="9"/>
        <color indexed="8"/>
        <rFont val="Times New Roman"/>
        <family val="1"/>
      </rPr>
      <t>H</t>
    </r>
    <r>
      <rPr>
        <vertAlign val="subscript"/>
        <sz val="9"/>
        <color indexed="8"/>
        <rFont val="Times New Roman"/>
        <family val="1"/>
      </rPr>
      <t>12</t>
    </r>
    <r>
      <rPr>
        <sz val="9"/>
        <color indexed="8"/>
        <rFont val="Times New Roman"/>
        <family val="1"/>
      </rPr>
      <t>N</t>
    </r>
    <r>
      <rPr>
        <vertAlign val="subscript"/>
        <sz val="9"/>
        <color indexed="8"/>
        <rFont val="Times New Roman"/>
        <family val="1"/>
      </rPr>
      <t>2</t>
    </r>
    <r>
      <rPr>
        <sz val="9"/>
        <color indexed="8"/>
        <rFont val="Times New Roman"/>
        <family val="1"/>
      </rPr>
      <t>O</t>
    </r>
  </si>
  <si>
    <r>
      <t>C</t>
    </r>
    <r>
      <rPr>
        <vertAlign val="subscript"/>
        <sz val="9"/>
        <color indexed="8"/>
        <rFont val="Times New Roman"/>
        <family val="1"/>
      </rPr>
      <t>6</t>
    </r>
    <r>
      <rPr>
        <sz val="9"/>
        <color indexed="8"/>
        <rFont val="Times New Roman"/>
        <family val="1"/>
      </rPr>
      <t>H</t>
    </r>
    <r>
      <rPr>
        <vertAlign val="subscript"/>
        <sz val="9"/>
        <color indexed="8"/>
        <rFont val="Times New Roman"/>
        <family val="1"/>
      </rPr>
      <t>6</t>
    </r>
    <r>
      <rPr>
        <sz val="9"/>
        <color indexed="8"/>
        <rFont val="Times New Roman"/>
        <family val="1"/>
      </rPr>
      <t>ClN</t>
    </r>
  </si>
  <si>
    <r>
      <t>C</t>
    </r>
    <r>
      <rPr>
        <vertAlign val="subscript"/>
        <sz val="9"/>
        <color indexed="8"/>
        <rFont val="Times New Roman"/>
        <family val="1"/>
      </rPr>
      <t>14</t>
    </r>
    <r>
      <rPr>
        <sz val="9"/>
        <color indexed="8"/>
        <rFont val="Times New Roman"/>
        <family val="1"/>
      </rPr>
      <t>H</t>
    </r>
    <r>
      <rPr>
        <vertAlign val="subscript"/>
        <sz val="9"/>
        <color indexed="8"/>
        <rFont val="Times New Roman"/>
        <family val="1"/>
      </rPr>
      <t>16</t>
    </r>
    <r>
      <rPr>
        <sz val="9"/>
        <color indexed="8"/>
        <rFont val="Times New Roman"/>
        <family val="1"/>
      </rPr>
      <t>N</t>
    </r>
    <r>
      <rPr>
        <vertAlign val="subscript"/>
        <sz val="9"/>
        <color indexed="8"/>
        <rFont val="Times New Roman"/>
        <family val="1"/>
      </rPr>
      <t>2</t>
    </r>
    <r>
      <rPr>
        <sz val="9"/>
        <color indexed="8"/>
        <rFont val="Times New Roman"/>
        <family val="1"/>
      </rPr>
      <t>O</t>
    </r>
    <r>
      <rPr>
        <vertAlign val="subscript"/>
        <sz val="9"/>
        <color indexed="8"/>
        <rFont val="Times New Roman"/>
        <family val="1"/>
      </rPr>
      <t>2</t>
    </r>
  </si>
  <si>
    <r>
      <t>C</t>
    </r>
    <r>
      <rPr>
        <vertAlign val="subscript"/>
        <sz val="9"/>
        <color indexed="8"/>
        <rFont val="Times New Roman"/>
        <family val="1"/>
      </rPr>
      <t>14</t>
    </r>
    <r>
      <rPr>
        <sz val="9"/>
        <color indexed="8"/>
        <rFont val="Times New Roman"/>
        <family val="1"/>
      </rPr>
      <t>H</t>
    </r>
    <r>
      <rPr>
        <vertAlign val="subscript"/>
        <sz val="9"/>
        <color indexed="8"/>
        <rFont val="Times New Roman"/>
        <family val="1"/>
      </rPr>
      <t>16</t>
    </r>
    <r>
      <rPr>
        <sz val="9"/>
        <color indexed="8"/>
        <rFont val="Times New Roman"/>
        <family val="1"/>
      </rPr>
      <t>N</t>
    </r>
    <r>
      <rPr>
        <vertAlign val="subscript"/>
        <sz val="9"/>
        <color indexed="8"/>
        <rFont val="Times New Roman"/>
        <family val="1"/>
      </rPr>
      <t>2</t>
    </r>
  </si>
  <si>
    <r>
      <t>C</t>
    </r>
    <r>
      <rPr>
        <vertAlign val="subscript"/>
        <sz val="9"/>
        <color indexed="8"/>
        <rFont val="Times New Roman"/>
        <family val="1"/>
      </rPr>
      <t>8</t>
    </r>
    <r>
      <rPr>
        <sz val="9"/>
        <color indexed="8"/>
        <rFont val="Times New Roman"/>
        <family val="1"/>
      </rPr>
      <t>H</t>
    </r>
    <r>
      <rPr>
        <vertAlign val="subscript"/>
        <sz val="9"/>
        <color indexed="8"/>
        <rFont val="Times New Roman"/>
        <family val="1"/>
      </rPr>
      <t>11</t>
    </r>
    <r>
      <rPr>
        <sz val="9"/>
        <color indexed="8"/>
        <rFont val="Times New Roman"/>
        <family val="1"/>
      </rPr>
      <t>NO</t>
    </r>
  </si>
  <si>
    <r>
      <t>C</t>
    </r>
    <r>
      <rPr>
        <vertAlign val="subscript"/>
        <sz val="9"/>
        <color indexed="8"/>
        <rFont val="Times New Roman"/>
        <family val="1"/>
      </rPr>
      <t>9</t>
    </r>
    <r>
      <rPr>
        <sz val="9"/>
        <color indexed="8"/>
        <rFont val="Times New Roman"/>
        <family val="1"/>
      </rPr>
      <t>H</t>
    </r>
    <r>
      <rPr>
        <vertAlign val="subscript"/>
        <sz val="9"/>
        <color indexed="8"/>
        <rFont val="Times New Roman"/>
        <family val="1"/>
      </rPr>
      <t>13</t>
    </r>
    <r>
      <rPr>
        <sz val="9"/>
        <color indexed="8"/>
        <rFont val="Times New Roman"/>
        <family val="1"/>
      </rPr>
      <t>N</t>
    </r>
  </si>
  <si>
    <r>
      <t>C</t>
    </r>
    <r>
      <rPr>
        <vertAlign val="subscript"/>
        <sz val="9"/>
        <color indexed="8"/>
        <rFont val="Times New Roman"/>
        <family val="1"/>
      </rPr>
      <t>12</t>
    </r>
    <r>
      <rPr>
        <sz val="9"/>
        <color indexed="8"/>
        <rFont val="Times New Roman"/>
        <family val="1"/>
      </rPr>
      <t>H</t>
    </r>
    <r>
      <rPr>
        <vertAlign val="subscript"/>
        <sz val="9"/>
        <color indexed="8"/>
        <rFont val="Times New Roman"/>
        <family val="1"/>
      </rPr>
      <t>12</t>
    </r>
    <r>
      <rPr>
        <sz val="9"/>
        <color indexed="8"/>
        <rFont val="Times New Roman"/>
        <family val="1"/>
      </rPr>
      <t>N</t>
    </r>
    <r>
      <rPr>
        <vertAlign val="subscript"/>
        <sz val="9"/>
        <color indexed="8"/>
        <rFont val="Times New Roman"/>
        <family val="1"/>
      </rPr>
      <t>2</t>
    </r>
    <r>
      <rPr>
        <sz val="9"/>
        <color indexed="8"/>
        <rFont val="Times New Roman"/>
        <family val="1"/>
      </rPr>
      <t>S</t>
    </r>
  </si>
  <si>
    <r>
      <t>C</t>
    </r>
    <r>
      <rPr>
        <vertAlign val="subscript"/>
        <sz val="9"/>
        <color indexed="8"/>
        <rFont val="Times New Roman"/>
        <family val="1"/>
      </rPr>
      <t>7</t>
    </r>
    <r>
      <rPr>
        <sz val="9"/>
        <color indexed="8"/>
        <rFont val="Times New Roman"/>
        <family val="1"/>
      </rPr>
      <t>H</t>
    </r>
    <r>
      <rPr>
        <vertAlign val="subscript"/>
        <sz val="9"/>
        <color indexed="8"/>
        <rFont val="Times New Roman"/>
        <family val="1"/>
      </rPr>
      <t>10</t>
    </r>
    <r>
      <rPr>
        <sz val="9"/>
        <color indexed="8"/>
        <rFont val="Times New Roman"/>
        <family val="1"/>
      </rPr>
      <t>N</t>
    </r>
    <r>
      <rPr>
        <vertAlign val="subscript"/>
        <sz val="9"/>
        <color indexed="8"/>
        <rFont val="Times New Roman"/>
        <family val="1"/>
      </rPr>
      <t>2</t>
    </r>
    <r>
      <rPr>
        <sz val="9"/>
        <color indexed="8"/>
        <rFont val="Times New Roman"/>
        <family val="1"/>
      </rPr>
      <t>O</t>
    </r>
  </si>
  <si>
    <r>
      <t>C</t>
    </r>
    <r>
      <rPr>
        <vertAlign val="subscript"/>
        <sz val="9"/>
        <color indexed="8"/>
        <rFont val="Times New Roman"/>
        <family val="1"/>
      </rPr>
      <t>15</t>
    </r>
    <r>
      <rPr>
        <sz val="9"/>
        <color indexed="8"/>
        <rFont val="Times New Roman"/>
        <family val="1"/>
      </rPr>
      <t>H</t>
    </r>
    <r>
      <rPr>
        <vertAlign val="subscript"/>
        <sz val="9"/>
        <color indexed="8"/>
        <rFont val="Times New Roman"/>
        <family val="1"/>
      </rPr>
      <t>18</t>
    </r>
    <r>
      <rPr>
        <sz val="9"/>
        <color indexed="8"/>
        <rFont val="Times New Roman"/>
        <family val="1"/>
      </rPr>
      <t>N</t>
    </r>
    <r>
      <rPr>
        <vertAlign val="subscript"/>
        <sz val="9"/>
        <color indexed="8"/>
        <rFont val="Times New Roman"/>
        <family val="1"/>
      </rPr>
      <t>2</t>
    </r>
  </si>
  <si>
    <r>
      <t xml:space="preserve">Halon    </t>
    </r>
    <r>
      <rPr>
        <sz val="10"/>
        <color indexed="8"/>
        <rFont val="ＭＳ Ｐ明朝"/>
        <family val="1"/>
        <charset val="128"/>
      </rPr>
      <t>　</t>
    </r>
    <phoneticPr fontId="1"/>
  </si>
  <si>
    <r>
      <t xml:space="preserve">1, 1, 1-Trichroloethane                                 </t>
    </r>
    <r>
      <rPr>
        <sz val="10"/>
        <rFont val="ＭＳ Ｐ明朝"/>
        <family val="1"/>
        <charset val="128"/>
      </rPr>
      <t/>
    </r>
    <phoneticPr fontId="1"/>
  </si>
  <si>
    <r>
      <t xml:space="preserve">HBFC                  </t>
    </r>
    <r>
      <rPr>
        <sz val="10"/>
        <color indexed="8"/>
        <rFont val="ＭＳ Ｐ明朝"/>
        <family val="1"/>
        <charset val="128"/>
      </rPr>
      <t>　</t>
    </r>
    <phoneticPr fontId="1"/>
  </si>
  <si>
    <r>
      <t xml:space="preserve">Bromochloromethane                </t>
    </r>
    <r>
      <rPr>
        <sz val="10"/>
        <color indexed="8"/>
        <rFont val="ＭＳ Ｐ明朝"/>
        <family val="1"/>
        <charset val="128"/>
      </rPr>
      <t>　　</t>
    </r>
    <phoneticPr fontId="1"/>
  </si>
  <si>
    <r>
      <t>C</t>
    </r>
    <r>
      <rPr>
        <vertAlign val="subscript"/>
        <sz val="9"/>
        <color indexed="8"/>
        <rFont val="Times New Roman"/>
        <family val="1"/>
      </rPr>
      <t>20</t>
    </r>
    <r>
      <rPr>
        <sz val="9"/>
        <color indexed="8"/>
        <rFont val="Times New Roman"/>
        <family val="1"/>
      </rPr>
      <t>H</t>
    </r>
    <r>
      <rPr>
        <vertAlign val="subscript"/>
        <sz val="9"/>
        <color indexed="8"/>
        <rFont val="Times New Roman"/>
        <family val="1"/>
      </rPr>
      <t>12</t>
    </r>
    <phoneticPr fontId="1"/>
  </si>
  <si>
    <r>
      <t>C</t>
    </r>
    <r>
      <rPr>
        <vertAlign val="subscript"/>
        <sz val="9"/>
        <color indexed="8"/>
        <rFont val="Times New Roman"/>
        <family val="1"/>
      </rPr>
      <t>18</t>
    </r>
    <r>
      <rPr>
        <sz val="9"/>
        <color indexed="8"/>
        <rFont val="Times New Roman"/>
        <family val="1"/>
      </rPr>
      <t>H</t>
    </r>
    <r>
      <rPr>
        <vertAlign val="subscript"/>
        <sz val="9"/>
        <color indexed="8"/>
        <rFont val="Times New Roman"/>
        <family val="1"/>
      </rPr>
      <t>12</t>
    </r>
    <phoneticPr fontId="1"/>
  </si>
  <si>
    <r>
      <t>C</t>
    </r>
    <r>
      <rPr>
        <vertAlign val="subscript"/>
        <sz val="9"/>
        <color indexed="8"/>
        <rFont val="Times New Roman"/>
        <family val="1"/>
      </rPr>
      <t>22</t>
    </r>
    <r>
      <rPr>
        <sz val="9"/>
        <color indexed="8"/>
        <rFont val="Times New Roman"/>
        <family val="1"/>
      </rPr>
      <t>H</t>
    </r>
    <r>
      <rPr>
        <vertAlign val="subscript"/>
        <sz val="9"/>
        <color indexed="8"/>
        <rFont val="Times New Roman"/>
        <family val="1"/>
      </rPr>
      <t>14</t>
    </r>
    <phoneticPr fontId="1"/>
  </si>
  <si>
    <t xml:space="preserve">           - 2006/66/EC, 91/157/EEC and 2013/56/EU</t>
    <phoneticPr fontId="1"/>
  </si>
  <si>
    <r>
      <t>含有あり</t>
    </r>
    <r>
      <rPr>
        <sz val="8"/>
        <color indexed="8"/>
        <rFont val="Times New Roman"/>
        <family val="1"/>
      </rPr>
      <t xml:space="preserve"> </t>
    </r>
    <r>
      <rPr>
        <sz val="8"/>
        <color indexed="8"/>
        <rFont val="ＭＳ Ｐ明朝"/>
        <family val="1"/>
        <charset val="128"/>
      </rPr>
      <t>対象外</t>
    </r>
    <rPh sb="5" eb="7">
      <t>タイショウ</t>
    </rPh>
    <rPh sb="7" eb="8">
      <t>ガイ</t>
    </rPh>
    <phoneticPr fontId="1"/>
  </si>
  <si>
    <r>
      <t>含有あり</t>
    </r>
    <r>
      <rPr>
        <sz val="8"/>
        <color indexed="8"/>
        <rFont val="Times New Roman"/>
        <family val="1"/>
      </rPr>
      <t xml:space="preserve"> </t>
    </r>
    <r>
      <rPr>
        <sz val="8"/>
        <color indexed="8"/>
        <rFont val="ＭＳ Ｐ明朝"/>
        <family val="1"/>
        <charset val="128"/>
      </rPr>
      <t>規制用途</t>
    </r>
    <rPh sb="5" eb="7">
      <t>キセイ</t>
    </rPh>
    <rPh sb="7" eb="9">
      <t>ヨウト</t>
    </rPh>
    <phoneticPr fontId="1"/>
  </si>
  <si>
    <t>Applicable environment-related substances (24 substances)</t>
    <phoneticPr fontId="1"/>
  </si>
  <si>
    <r>
      <t xml:space="preserve">Impurities
</t>
    </r>
    <r>
      <rPr>
        <sz val="9"/>
        <color indexed="8"/>
        <rFont val="Times New Roman"/>
        <family val="1"/>
      </rPr>
      <t xml:space="preserve"> (Exclude portion of intended inclusion)</t>
    </r>
    <phoneticPr fontId="1"/>
  </si>
  <si>
    <r>
      <t xml:space="preserve">Polychloronaphtalenes </t>
    </r>
    <r>
      <rPr>
        <sz val="10"/>
        <color indexed="8"/>
        <rFont val="ＭＳ Ｐ明朝"/>
        <family val="1"/>
        <charset val="128"/>
      </rPr>
      <t>（</t>
    </r>
    <r>
      <rPr>
        <sz val="10"/>
        <color indexed="8"/>
        <rFont val="Times New Roman"/>
        <family val="1"/>
      </rPr>
      <t>with 3 or more chlorine atoms</t>
    </r>
    <r>
      <rPr>
        <sz val="10"/>
        <color indexed="8"/>
        <rFont val="ＭＳ Ｐ明朝"/>
        <family val="1"/>
        <charset val="128"/>
      </rPr>
      <t>）</t>
    </r>
    <phoneticPr fontId="1"/>
  </si>
  <si>
    <r>
      <t>Short Chain Chlorinated Paraffins</t>
    </r>
    <r>
      <rPr>
        <sz val="8"/>
        <color indexed="8"/>
        <rFont val="Times New Roman"/>
        <family val="1"/>
      </rPr>
      <t xml:space="preserve"> </t>
    </r>
    <r>
      <rPr>
        <sz val="9"/>
        <color indexed="8"/>
        <rFont val="Times New Roman"/>
        <family val="1"/>
      </rPr>
      <t>(with carbon length 10 through 13)</t>
    </r>
    <phoneticPr fontId="1"/>
  </si>
  <si>
    <r>
      <t>Ozone depleting substances</t>
    </r>
    <r>
      <rPr>
        <sz val="9"/>
        <color indexed="8"/>
        <rFont val="Times New Roman"/>
        <family val="1"/>
      </rPr>
      <t xml:space="preserve"> (ODS) &lt;Table 4&gt;</t>
    </r>
    <phoneticPr fontId="1"/>
  </si>
  <si>
    <r>
      <t xml:space="preserve">Tri-substituted organostannic compounds </t>
    </r>
    <r>
      <rPr>
        <sz val="9"/>
        <color indexed="8"/>
        <rFont val="Times New Roman"/>
        <family val="1"/>
      </rPr>
      <t>((TBTs, TPTs, etc. except TBTO))</t>
    </r>
    <phoneticPr fontId="1"/>
  </si>
  <si>
    <r>
      <t xml:space="preserve">Brominated Flame Retardants </t>
    </r>
    <r>
      <rPr>
        <sz val="9"/>
        <color indexed="8"/>
        <rFont val="Times New Roman"/>
        <family val="1"/>
      </rPr>
      <t>(other than PBBs, PBDEs, TBBPA)</t>
    </r>
    <phoneticPr fontId="1"/>
  </si>
  <si>
    <t>Compliance with the attached check list. &lt;Table 6&gt;</t>
    <phoneticPr fontId="1"/>
  </si>
  <si>
    <r>
      <t>*</t>
    </r>
    <r>
      <rPr>
        <b/>
        <sz val="8"/>
        <color indexed="8"/>
        <rFont val="Times New Roman"/>
        <family val="1"/>
      </rPr>
      <t>Presence of intended inclusion:</t>
    </r>
    <r>
      <rPr>
        <sz val="8"/>
        <color indexed="8"/>
        <rFont val="Times New Roman"/>
        <family val="1"/>
      </rPr>
      <t xml:space="preserve"> For each substance No. 1-21, please select one of alternatives in the column "Presence of intended inclusion".</t>
    </r>
    <phoneticPr fontId="1"/>
  </si>
  <si>
    <r>
      <t>*</t>
    </r>
    <r>
      <rPr>
        <b/>
        <sz val="8"/>
        <color indexed="8"/>
        <rFont val="Times New Roman"/>
        <family val="1"/>
      </rPr>
      <t>For substance No.22-24:</t>
    </r>
    <r>
      <rPr>
        <sz val="8"/>
        <color indexed="8"/>
        <rFont val="Times New Roman"/>
        <family val="1"/>
      </rPr>
      <t xml:space="preserve"> Please reply the inclusion of each substance. </t>
    </r>
    <phoneticPr fontId="1"/>
  </si>
  <si>
    <t xml:space="preserve">  For substance 22, if PVC is included please select depending on the concentration of lead in the PVC whether "above 300ppm" or "300ppm or less".</t>
    <phoneticPr fontId="1"/>
  </si>
  <si>
    <r>
      <t>*</t>
    </r>
    <r>
      <rPr>
        <b/>
        <sz val="8"/>
        <color indexed="8"/>
        <rFont val="Times New Roman"/>
        <family val="1"/>
      </rPr>
      <t>For item No.25:</t>
    </r>
    <r>
      <rPr>
        <sz val="8"/>
        <color indexed="8"/>
        <rFont val="Times New Roman"/>
        <family val="1"/>
      </rPr>
      <t xml:space="preserve"> Please reply result of checking with the attached Table 6.</t>
    </r>
    <phoneticPr fontId="1"/>
  </si>
  <si>
    <t xml:space="preserve"> </t>
    <phoneticPr fontId="1"/>
  </si>
  <si>
    <t xml:space="preserve">               Item 20,25: If some items of Table 5,6 are not fulfilled, please describe below the item number, reason and the portion including the substance.  </t>
    <phoneticPr fontId="1"/>
  </si>
  <si>
    <t>Table 1</t>
    <phoneticPr fontId="1"/>
  </si>
  <si>
    <t>PAH</t>
    <phoneticPr fontId="1"/>
  </si>
  <si>
    <t>1. Rohs Exempted uses (Allowable uses)</t>
    <phoneticPr fontId="1"/>
  </si>
  <si>
    <t>2. REACH Exempted uses (Allowable uses)</t>
    <phoneticPr fontId="1"/>
  </si>
  <si>
    <t>Internal parts or exterior parts which touch at a short time or in rare cases.</t>
    <phoneticPr fontId="1"/>
  </si>
  <si>
    <t>Parts of subject to regulation</t>
    <phoneticPr fontId="1"/>
  </si>
  <si>
    <t xml:space="preserve">Table 6       Check list for completing the Use / Nonuse Declaration of Environment-related substances </t>
    <phoneticPr fontId="1"/>
  </si>
  <si>
    <t>Please check the following contents before completing this declaration.</t>
    <phoneticPr fontId="1"/>
  </si>
  <si>
    <t>Please regard not applicable items as compliant with the requirements.</t>
    <phoneticPr fontId="1"/>
  </si>
  <si>
    <t>It is not necessary to submit this sheet.</t>
    <phoneticPr fontId="1"/>
  </si>
  <si>
    <t>Is the reply made in accordance with the "Green Procurement Guidelines" which our company issued?  (Judging Criteria)</t>
    <phoneticPr fontId="1"/>
  </si>
  <si>
    <t>Are replies based upon investigation into each individual part from your suppliers? (The evidence of the declaration)</t>
    <phoneticPr fontId="1"/>
  </si>
  <si>
    <t>Prohibition only in case of more than 1ppm content for rubber or plastics components that come into direct as well as prolonged or short-term repetitive contact with the human skin or the oral cavity (based on the Annex XVII of the EU REACH)
It is unnecessary to survey the internal parts or exterior parts which touch at a short time or in rare cases and please check the regulation exclusion item in item 20.</t>
    <phoneticPr fontId="1"/>
  </si>
  <si>
    <t>the remote, switch, 3D glass etc 
(Rubber or plastics components that come into direct as well as prolonged or short-term repetitive contact with the human skin or the oral cavity (based on the Annex XVII of the EU REACH))</t>
    <phoneticPr fontId="1"/>
  </si>
  <si>
    <t xml:space="preserve">  This item is only applicable to three substances of 1,3,4, and 20.</t>
    <phoneticPr fontId="1"/>
  </si>
  <si>
    <t xml:space="preserve">   substance1-21, and "Yes" is selected for item25.</t>
    <phoneticPr fontId="1"/>
  </si>
  <si>
    <t>&lt;Example parts&gt;</t>
  </si>
  <si>
    <t>&lt;Inspection standard&gt;</t>
  </si>
  <si>
    <t xml:space="preserve"> 1. Coil part (transformer, choke coil, line filter etc.)</t>
    <phoneticPr fontId="1"/>
  </si>
  <si>
    <t xml:space="preserve"> 2. Tube</t>
    <phoneticPr fontId="1"/>
  </si>
  <si>
    <t xml:space="preserve"> 3. AC code housing</t>
    <phoneticPr fontId="1"/>
  </si>
  <si>
    <t xml:space="preserve"> 4. Newly added connector/housing (external input-output terminal, card socket)</t>
    <phoneticPr fontId="1"/>
  </si>
  <si>
    <t xml:space="preserve"> 5. FFC</t>
    <phoneticPr fontId="1"/>
  </si>
  <si>
    <t xml:space="preserve"> 6. Part switched red phosphorus content part.</t>
    <phoneticPr fontId="1"/>
  </si>
  <si>
    <t>0.1wt% (1000ppm) (*7)</t>
    <phoneticPr fontId="1"/>
  </si>
  <si>
    <t xml:space="preserve">(*7) The following parts with the potentiality of the electrical short circuit by the interfusion of red phosphorus are confirmed the non-inclusion </t>
    <phoneticPr fontId="1"/>
  </si>
  <si>
    <t xml:space="preserve">      by PAC TEST etc. and its result is used the evidencesof “Use/Non-use Declaration of Environment-related Substances”</t>
    <phoneticPr fontId="1"/>
  </si>
  <si>
    <t>※参考</t>
    <rPh sb="1" eb="3">
      <t>サンコウ</t>
    </rPh>
    <phoneticPr fontId="1"/>
  </si>
  <si>
    <t>Bis (2-ethylhexyl)phthalate (DEHP)</t>
    <phoneticPr fontId="1"/>
  </si>
  <si>
    <t xml:space="preserve">Dibutyl phthalate (DBP) </t>
    <phoneticPr fontId="1"/>
  </si>
  <si>
    <t xml:space="preserve">Butyl benzyl phthalate (BBP) </t>
    <phoneticPr fontId="1"/>
  </si>
  <si>
    <t xml:space="preserve">Diisobutyl phthalate (DIBP) </t>
    <phoneticPr fontId="1"/>
  </si>
  <si>
    <r>
      <rPr>
        <b/>
        <sz val="8"/>
        <color indexed="8"/>
        <rFont val="Times New Roman"/>
        <family val="1"/>
      </rPr>
      <t>*Impurities:</t>
    </r>
    <r>
      <rPr>
        <sz val="8"/>
        <color indexed="8"/>
        <rFont val="Times New Roman"/>
        <family val="1"/>
      </rPr>
      <t xml:space="preserve"> For each substance 1-10,20,and 21, please select the column of either "Below threshold", or "Above threshold", based on the impurity inclusion concentration for </t>
    </r>
    <phoneticPr fontId="1"/>
  </si>
  <si>
    <t>Content in resin</t>
    <phoneticPr fontId="1"/>
  </si>
  <si>
    <t xml:space="preserve">Red phosphorus (Content in resin) </t>
    <phoneticPr fontId="1"/>
  </si>
  <si>
    <t>: For substances 1-10, 20, and 21, please select either "Below threshold " or "Above threshold". Refer to Table 2</t>
    <phoneticPr fontId="1"/>
  </si>
  <si>
    <t>(*3) For the latest information in each RoHS Directive expiration date, please refer to and check the original texts of related laws and regulations.</t>
    <phoneticPr fontId="1"/>
  </si>
  <si>
    <t xml:space="preserve"> The tolerance of phosphate-phosphorus concentration is 0.1mg/L when the sample amount is more than 0.2g the extraction liquid is 3mL, </t>
    <phoneticPr fontId="1"/>
  </si>
  <si>
    <t xml:space="preserve"> the probe assay (Py-GS/MS)  is needed.</t>
    <phoneticPr fontId="1"/>
  </si>
  <si>
    <t xml:space="preserve"> the extraction temperature is 80 degrees and the extraction time is more than 3 hours. When the measured value exceeds the tolerance,</t>
    <phoneticPr fontId="1"/>
  </si>
  <si>
    <t>Cadmium in striking optical filter glass types; excluding applications falling under point 39 of this Annex.
Cadmium  in glazes used for reflectance standards.</t>
    <phoneticPr fontId="1"/>
  </si>
  <si>
    <t>Cadmium in printing inks for the application of enamels on glasses, such as borosilicate and soda lime glasses</t>
    <phoneticPr fontId="1"/>
  </si>
  <si>
    <t>Lead in ion coloured optical filter glass types.
Lead in glazes used for reflectance standards.</t>
    <phoneticPr fontId="1"/>
  </si>
  <si>
    <t>7(c)-I</t>
    <phoneticPr fontId="1"/>
  </si>
  <si>
    <t>2(b)(3)(4)</t>
    <phoneticPr fontId="1"/>
  </si>
  <si>
    <r>
      <t>13(b)-(I)(</t>
    </r>
    <r>
      <rPr>
        <sz val="9"/>
        <color indexed="8"/>
        <rFont val="ＭＳ Ｐ明朝"/>
        <family val="1"/>
        <charset val="128"/>
      </rPr>
      <t>Ⅲ</t>
    </r>
    <r>
      <rPr>
        <sz val="9"/>
        <color indexed="8"/>
        <rFont val="Times New Roman"/>
        <family val="1"/>
      </rPr>
      <t>)</t>
    </r>
    <phoneticPr fontId="1"/>
  </si>
  <si>
    <r>
      <t>13(b)-(II)(</t>
    </r>
    <r>
      <rPr>
        <sz val="9"/>
        <color indexed="8"/>
        <rFont val="ＭＳ Ｐ明朝"/>
        <family val="1"/>
        <charset val="128"/>
      </rPr>
      <t>Ⅲ</t>
    </r>
    <r>
      <rPr>
        <sz val="9"/>
        <color indexed="8"/>
        <rFont val="Times New Roman"/>
        <family val="1"/>
      </rPr>
      <t>)</t>
    </r>
    <phoneticPr fontId="1"/>
  </si>
  <si>
    <t>History</t>
    <phoneticPr fontId="1"/>
  </si>
  <si>
    <t>Date</t>
    <phoneticPr fontId="1"/>
  </si>
  <si>
    <t>Rev_No</t>
    <phoneticPr fontId="1"/>
  </si>
  <si>
    <t>Contents of correction</t>
    <phoneticPr fontId="1"/>
  </si>
  <si>
    <t>Rev10/Rev11</t>
    <phoneticPr fontId="1"/>
  </si>
  <si>
    <t>add new substance of RoHS, PAH and Red phosphorus</t>
    <phoneticPr fontId="1"/>
  </si>
  <si>
    <t>Rev10/Rev11_01</t>
    <phoneticPr fontId="1"/>
  </si>
  <si>
    <t>correct of printing failure (removing check mark at the time of printing) and  change the page setting.</t>
    <phoneticPr fontId="1"/>
  </si>
  <si>
    <t>Rev10/Rev11_02</t>
    <phoneticPr fontId="1"/>
  </si>
  <si>
    <t>correct of printing failure</t>
    <phoneticPr fontId="1"/>
  </si>
  <si>
    <t>Rev10/Rev11_03</t>
    <phoneticPr fontId="1"/>
  </si>
  <si>
    <t>Rev10/Rev11_04</t>
  </si>
  <si>
    <t>change the corporate name</t>
    <phoneticPr fontId="1"/>
  </si>
  <si>
    <t>Rev11_05</t>
    <phoneticPr fontId="1"/>
  </si>
  <si>
    <t>delete the row of Expiration date in table 1.</t>
    <phoneticPr fontId="1"/>
  </si>
  <si>
    <t>add the note about Expiration date of RoHS Exempted uses.</t>
    <phoneticPr fontId="1"/>
  </si>
  <si>
    <t>add the note of Red phosphorus to Instruction Seet.</t>
    <phoneticPr fontId="1"/>
  </si>
  <si>
    <t>correct of the layout</t>
    <phoneticPr fontId="1"/>
  </si>
  <si>
    <t xml:space="preserve">used in that packaging. </t>
    <phoneticPr fontId="1"/>
  </si>
  <si>
    <t>Rev11_06</t>
    <phoneticPr fontId="1"/>
  </si>
  <si>
    <t>Lead in glass of fluorescent tubes not exceeding 0.2 % by weight</t>
    <phoneticPr fontId="1"/>
  </si>
  <si>
    <t>5(b)</t>
    <phoneticPr fontId="1"/>
  </si>
  <si>
    <t>5(a)</t>
    <phoneticPr fontId="1"/>
  </si>
  <si>
    <t>Lead in glass of cathode ray tubes</t>
    <phoneticPr fontId="1"/>
  </si>
  <si>
    <t>Lead in solders for servers, storage and storage array systems, network infrastructure equipment for switching, signalling, transmission, and network management for telecommunications</t>
    <phoneticPr fontId="1"/>
  </si>
  <si>
    <t>7(b)</t>
    <phoneticPr fontId="1"/>
  </si>
  <si>
    <t xml:space="preserve"> Lead in soldering materials in mercury free flat fluorescent lamps (which e.g. are used for liquid crystal displays, design or industrial lighting)</t>
    <phoneticPr fontId="1"/>
  </si>
  <si>
    <t>2(b)(2)</t>
    <phoneticPr fontId="1"/>
  </si>
  <si>
    <t xml:space="preserve"> Mercury in non-linear tri-band phosphor lamps with tube diameter &gt; 17 mm (e.g. T9) and lamps for other general lighting and special purposes (e.g. induction lamps) not exceeding 15mg(per lamps)</t>
    <phoneticPr fontId="1"/>
  </si>
  <si>
    <t>Non-linear halophosphate lamps (all diameters) not exceeding 15mg(per lamps)</t>
    <phoneticPr fontId="1"/>
  </si>
  <si>
    <t>Lead halide as radiant agent in high intensity discharge (HID) lamps used for professional reprography applications</t>
    <phoneticPr fontId="1"/>
  </si>
  <si>
    <t>correct a part of flag</t>
    <phoneticPr fontId="1"/>
  </si>
  <si>
    <t>Already prohibited</t>
    <phoneticPr fontId="1"/>
  </si>
  <si>
    <t>Already prohibited</t>
    <phoneticPr fontId="1"/>
  </si>
  <si>
    <t>update RoHS Exempted uses in table1</t>
    <phoneticPr fontId="1"/>
  </si>
  <si>
    <t>Rev.11_07</t>
    <phoneticPr fontId="1"/>
  </si>
  <si>
    <t>- Reply is subject to the delivery of all units, parts and components to TVS REGZA CORPORATION.</t>
    <phoneticPr fontId="1"/>
  </si>
  <si>
    <t>- Please do not write in the box below your signature, this is for TVS REGZA internal use only.</t>
    <phoneticPr fontId="1"/>
  </si>
  <si>
    <t>-In the case of materials or parts, and the supplier have no idea to what portion of the TVS REGZA product they will be used,</t>
    <phoneticPr fontId="1"/>
  </si>
  <si>
    <t>Regarding the product whose packaging is expected to be put on the market by TVS REGZA, polyvinyl chloride (PVC) is not</t>
    <phoneticPr fontId="1"/>
  </si>
  <si>
    <t>To: TVS REGZA CORPORATION</t>
    <phoneticPr fontId="1"/>
  </si>
  <si>
    <t>TVS REGZA Part Number(*1)</t>
    <phoneticPr fontId="1"/>
  </si>
  <si>
    <r>
      <t xml:space="preserve">[ </t>
    </r>
    <r>
      <rPr>
        <sz val="10"/>
        <color indexed="8"/>
        <rFont val="Times New Roman"/>
        <family val="1"/>
      </rPr>
      <t xml:space="preserve">Column for TVS REGZA Use </t>
    </r>
    <r>
      <rPr>
        <sz val="10"/>
        <color indexed="8"/>
        <rFont val="Arial"/>
        <family val="2"/>
      </rPr>
      <t>]</t>
    </r>
    <phoneticPr fontId="1"/>
  </si>
  <si>
    <t>Rev11_07</t>
    <phoneticPr fontId="1"/>
  </si>
  <si>
    <r>
      <t>Item 3</t>
    </r>
    <r>
      <rPr>
        <sz val="10"/>
        <color indexed="8"/>
        <rFont val="宋体"/>
        <family val="3"/>
        <charset val="134"/>
      </rPr>
      <t>：</t>
    </r>
    <r>
      <rPr>
        <sz val="10"/>
        <color indexed="8"/>
        <rFont val="Times New Roman"/>
        <family val="1"/>
      </rPr>
      <t>Such as copper alloy plug</t>
    </r>
    <r>
      <rPr>
        <sz val="10"/>
        <color indexed="8"/>
        <rFont val="宋体"/>
        <family val="3"/>
        <charset val="134"/>
      </rPr>
      <t>、</t>
    </r>
    <r>
      <rPr>
        <sz val="10"/>
        <color indexed="8"/>
        <rFont val="Times New Roman"/>
        <family val="1"/>
      </rPr>
      <t>dielectric ceramic capacitor</t>
    </r>
    <r>
      <rPr>
        <sz val="10"/>
        <color indexed="8"/>
        <rFont val="宋体"/>
        <family val="3"/>
        <charset val="134"/>
      </rPr>
      <t>、</t>
    </r>
    <r>
      <rPr>
        <sz val="10"/>
        <color indexed="8"/>
        <rFont val="Times New Roman"/>
        <family val="1"/>
      </rPr>
      <t>glass components</t>
    </r>
    <r>
      <rPr>
        <sz val="10"/>
        <color indexed="8"/>
        <rFont val="宋体"/>
        <family val="3"/>
        <charset val="134"/>
      </rPr>
      <t>、</t>
    </r>
    <r>
      <rPr>
        <sz val="10"/>
        <color indexed="8"/>
        <rFont val="Times New Roman"/>
        <family val="1"/>
      </rPr>
      <t>high temperature soldering inside may contain lead and its compounds .</t>
    </r>
    <phoneticPr fontId="1"/>
  </si>
  <si>
    <r>
      <t>RoHS Directive</t>
    </r>
    <r>
      <rPr>
        <sz val="10"/>
        <color indexed="8"/>
        <rFont val="宋体"/>
        <family val="3"/>
        <charset val="134"/>
      </rPr>
      <t>（</t>
    </r>
    <r>
      <rPr>
        <sz val="10"/>
        <color indexed="8"/>
        <rFont val="Times New Roman"/>
        <family val="1"/>
      </rPr>
      <t>2011/65/EU</t>
    </r>
    <r>
      <rPr>
        <sz val="10"/>
        <color indexed="8"/>
        <rFont val="宋体"/>
        <family val="3"/>
        <charset val="134"/>
      </rPr>
      <t>）</t>
    </r>
    <r>
      <rPr>
        <sz val="10"/>
        <color indexed="8"/>
        <rFont val="Times New Roman"/>
        <family val="1"/>
      </rPr>
      <t>examption clause 6(c)</t>
    </r>
    <r>
      <rPr>
        <sz val="10"/>
        <color indexed="8"/>
        <rFont val="宋体"/>
        <family val="3"/>
        <charset val="134"/>
      </rPr>
      <t>、</t>
    </r>
    <r>
      <rPr>
        <sz val="10"/>
        <color indexed="8"/>
        <rFont val="Times New Roman"/>
        <family val="1"/>
      </rPr>
      <t>7(a)</t>
    </r>
    <r>
      <rPr>
        <sz val="10"/>
        <color indexed="8"/>
        <rFont val="宋体"/>
        <family val="3"/>
        <charset val="134"/>
      </rPr>
      <t>、</t>
    </r>
    <r>
      <rPr>
        <sz val="10"/>
        <color indexed="8"/>
        <rFont val="Times New Roman"/>
        <family val="1"/>
      </rPr>
      <t>7(c)-1 applied.</t>
    </r>
    <phoneticPr fontId="1"/>
  </si>
  <si>
    <t xml:space="preserve">R&amp;D Quality Department /  Environmental protection Engineer </t>
    <phoneticPr fontId="1"/>
  </si>
  <si>
    <t xml:space="preserve">R&amp;D Quality Department / Minister </t>
    <phoneticPr fontId="1"/>
  </si>
  <si>
    <t xml:space="preserve"> Hisense Visual Technology Co., Ltd.</t>
    <phoneticPr fontId="1"/>
  </si>
  <si>
    <t>Hisense Visual Technology Co., Ltd.</t>
    <phoneticPr fontId="1"/>
  </si>
  <si>
    <r>
      <t>Hisense Visual Technology Co.</t>
    </r>
    <r>
      <rPr>
        <sz val="11"/>
        <color indexed="8"/>
        <rFont val="Times New Roman"/>
        <family val="1"/>
      </rPr>
      <t>, Ltd.</t>
    </r>
    <phoneticPr fontId="1"/>
  </si>
  <si>
    <t>Signature:</t>
    <phoneticPr fontId="1"/>
  </si>
  <si>
    <r>
      <rPr>
        <sz val="10"/>
        <color indexed="8"/>
        <rFont val="宋体"/>
        <family val="3"/>
        <charset val="134"/>
      </rPr>
      <t>田媛（</t>
    </r>
    <r>
      <rPr>
        <sz val="10"/>
        <color indexed="8"/>
        <rFont val="Times New Roman"/>
        <family val="1"/>
      </rPr>
      <t>Yuan</t>
    </r>
    <r>
      <rPr>
        <sz val="10"/>
        <color indexed="8"/>
        <rFont val="Times New Roman"/>
        <family val="1"/>
      </rPr>
      <t xml:space="preserve"> Tian</t>
    </r>
    <r>
      <rPr>
        <sz val="10"/>
        <color indexed="8"/>
        <rFont val="宋体"/>
        <family val="3"/>
        <charset val="134"/>
      </rPr>
      <t>）</t>
    </r>
    <phoneticPr fontId="1"/>
  </si>
  <si>
    <t>zhaoqingchao@hisense.com</t>
  </si>
  <si>
    <t>0532-55753673</t>
    <phoneticPr fontId="1"/>
  </si>
  <si>
    <t>Polyvinyl Chloride (PVC)</t>
    <phoneticPr fontId="1"/>
  </si>
  <si>
    <t>Lead above 300ppm</t>
    <phoneticPr fontId="1"/>
  </si>
  <si>
    <t>Cadmium and its compounds</t>
    <phoneticPr fontId="1"/>
  </si>
  <si>
    <t>LCD LED TV</t>
    <phoneticPr fontId="1"/>
  </si>
  <si>
    <r>
      <rPr>
        <sz val="10"/>
        <color indexed="8"/>
        <rFont val="宋体"/>
        <family val="3"/>
        <charset val="134"/>
      </rPr>
      <t>赵庆超（</t>
    </r>
    <r>
      <rPr>
        <sz val="10"/>
        <color indexed="8"/>
        <rFont val="Times New Roman"/>
        <family val="1"/>
      </rPr>
      <t>Qingchao Zhao</t>
    </r>
    <r>
      <rPr>
        <sz val="10"/>
        <color indexed="8"/>
        <rFont val="宋体"/>
        <family val="3"/>
        <charset val="134"/>
      </rPr>
      <t>）</t>
    </r>
    <phoneticPr fontId="1"/>
  </si>
  <si>
    <t>75LASF</t>
    <phoneticPr fontId="1"/>
  </si>
  <si>
    <t>1/26/2026</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</si>
</sst>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quot;[&quot;0&quot;]&quot;;&quot;[&quot;\-0&quot;]&quot;;&quot;[&quot;0&quot;]&quot;;&quot;[&quot;@&quot;]&quot;"/>
    <numFmt numFmtId="177" formatCode="yyyy&quot;年&quot;m&quot;月&quot;d&quot;日&quot;;@"/>
  </numFmts>
  <fonts count="50">
    <font>
      <sz val="11"/>
      <name val="ＭＳ Ｐゴシック"/>
      <family val="2"/>
      <charset val="128"/>
    </font>
    <font>
      <sz val="6"/>
      <name val="ＭＳ Ｐゴシック"/>
      <family val="2"/>
      <charset val="128"/>
    </font>
    <font>
      <sz val="10"/>
      <name val="ＭＳ Ｐ明朝"/>
      <family val="1"/>
      <charset val="128"/>
    </font>
    <font>
      <u/>
      <sz val="11"/>
      <color indexed="12"/>
      <name val="ＭＳ Ｐゴシック"/>
      <family val="2"/>
      <charset val="128"/>
    </font>
    <font>
      <sz val="10"/>
      <color indexed="8"/>
      <name val="Times New Roman"/>
      <family val="1"/>
    </font>
    <font>
      <sz val="9"/>
      <color indexed="8"/>
      <name val="Times New Roman"/>
      <family val="1"/>
    </font>
    <font>
      <sz val="9"/>
      <color indexed="8"/>
      <name val="ＭＳ Ｐ明朝"/>
      <family val="1"/>
      <charset val="128"/>
    </font>
    <font>
      <sz val="10"/>
      <color indexed="8"/>
      <name val="ＭＳ Ｐ明朝"/>
      <family val="1"/>
      <charset val="128"/>
    </font>
    <font>
      <vertAlign val="subscript"/>
      <sz val="9"/>
      <color indexed="8"/>
      <name val="Times New Roman"/>
      <family val="1"/>
    </font>
    <font>
      <sz val="8"/>
      <color indexed="8"/>
      <name val="ＭＳ Ｐ明朝"/>
      <family val="1"/>
      <charset val="128"/>
    </font>
    <font>
      <sz val="8"/>
      <color indexed="8"/>
      <name val="Times New Roman"/>
      <family val="1"/>
    </font>
    <font>
      <b/>
      <sz val="8"/>
      <color indexed="8"/>
      <name val="Times New Roman"/>
      <family val="1"/>
    </font>
    <font>
      <sz val="10"/>
      <color indexed="8"/>
      <name val="Arial"/>
      <family val="2"/>
    </font>
    <font>
      <b/>
      <u/>
      <sz val="11"/>
      <name val="Times New Roman"/>
      <family val="1"/>
    </font>
    <font>
      <b/>
      <u/>
      <sz val="11"/>
      <name val="Meiryo UI"/>
      <family val="3"/>
      <charset val="128"/>
    </font>
    <font>
      <sz val="11"/>
      <name val="Meiryo UI"/>
      <family val="3"/>
      <charset val="128"/>
    </font>
    <font>
      <b/>
      <sz val="11"/>
      <name val="Meiryo UI"/>
      <family val="3"/>
      <charset val="128"/>
    </font>
    <font>
      <sz val="11"/>
      <color indexed="8"/>
      <name val="Times New Roman"/>
      <family val="1"/>
    </font>
    <font>
      <sz val="10"/>
      <color indexed="8"/>
      <name val="宋体"/>
      <family val="3"/>
      <charset val="134"/>
    </font>
    <font>
      <sz val="11"/>
      <color theme="1"/>
      <name val="Times New Roman"/>
      <family val="1"/>
    </font>
    <font>
      <sz val="10"/>
      <color theme="1"/>
      <name val="Times New Roman"/>
      <family val="1"/>
    </font>
    <font>
      <sz val="11"/>
      <color theme="1"/>
      <name val="ＭＳ Ｐ明朝"/>
      <family val="1"/>
      <charset val="128"/>
    </font>
    <font>
      <b/>
      <u/>
      <sz val="11"/>
      <color theme="1"/>
      <name val="Times New Roman"/>
      <family val="1"/>
    </font>
    <font>
      <b/>
      <u/>
      <sz val="12"/>
      <color theme="1"/>
      <name val="Times New Roman"/>
      <family val="1"/>
    </font>
    <font>
      <b/>
      <sz val="10"/>
      <color theme="1"/>
      <name val="Times New Roman"/>
      <family val="1"/>
    </font>
    <font>
      <u/>
      <sz val="10"/>
      <color theme="1"/>
      <name val="Times New Roman"/>
      <family val="1"/>
    </font>
    <font>
      <b/>
      <sz val="11"/>
      <color theme="1"/>
      <name val="Times New Roman"/>
      <family val="1"/>
    </font>
    <font>
      <b/>
      <sz val="9"/>
      <color theme="1"/>
      <name val="Times New Roman"/>
      <family val="1"/>
    </font>
    <font>
      <sz val="9"/>
      <color theme="1"/>
      <name val="Times New Roman"/>
      <family val="1"/>
    </font>
    <font>
      <b/>
      <sz val="10"/>
      <color theme="1"/>
      <name val="ＭＳ Ｐ明朝"/>
      <family val="1"/>
      <charset val="128"/>
    </font>
    <font>
      <sz val="11"/>
      <color theme="1"/>
      <name val="ＭＳ Ｐゴシック"/>
      <family val="2"/>
      <charset val="128"/>
    </font>
    <font>
      <b/>
      <sz val="12"/>
      <color theme="1"/>
      <name val="Times New Roman"/>
      <family val="1"/>
    </font>
    <font>
      <sz val="10"/>
      <color theme="1"/>
      <name val="ＭＳ Ｐ明朝"/>
      <family val="1"/>
      <charset val="128"/>
    </font>
    <font>
      <b/>
      <sz val="12"/>
      <color theme="1"/>
      <name val="ＭＳ Ｐゴシック"/>
      <family val="2"/>
      <charset val="128"/>
    </font>
    <font>
      <sz val="12"/>
      <color theme="1"/>
      <name val="Times New Roman"/>
      <family val="1"/>
    </font>
    <font>
      <sz val="8"/>
      <color theme="1"/>
      <name val="Times New Roman"/>
      <family val="1"/>
    </font>
    <font>
      <sz val="7"/>
      <color theme="1"/>
      <name val="Times New Roman"/>
      <family val="1"/>
    </font>
    <font>
      <sz val="7.5"/>
      <color theme="1"/>
      <name val="Times New Roman"/>
      <family val="1"/>
    </font>
    <font>
      <vertAlign val="superscript"/>
      <sz val="9"/>
      <color theme="1"/>
      <name val="Times New Roman"/>
      <family val="1"/>
    </font>
    <font>
      <sz val="8"/>
      <color theme="1"/>
      <name val="ＭＳ Ｐ明朝"/>
      <family val="1"/>
      <charset val="128"/>
    </font>
    <font>
      <sz val="8"/>
      <color theme="1"/>
      <name val="Arial"/>
      <family val="2"/>
    </font>
    <font>
      <b/>
      <sz val="8"/>
      <color theme="1"/>
      <name val="Times New Roman"/>
      <family val="1"/>
    </font>
    <font>
      <sz val="6"/>
      <color theme="1"/>
      <name val="Times New Roman"/>
      <family val="1"/>
    </font>
    <font>
      <sz val="9"/>
      <color theme="1"/>
      <name val="ＭＳ Ｐゴシック"/>
      <family val="2"/>
      <charset val="128"/>
    </font>
    <font>
      <b/>
      <sz val="9"/>
      <color rgb="FFFF0000"/>
      <name val="Times New Roman"/>
      <family val="1"/>
    </font>
    <font>
      <sz val="9"/>
      <color rgb="FFFF0000"/>
      <name val="Times New Roman"/>
      <family val="1"/>
    </font>
    <font>
      <sz val="10"/>
      <color theme="1"/>
      <name val="Arial"/>
      <family val="2"/>
    </font>
    <font>
      <sz val="6.5"/>
      <color theme="1"/>
      <name val="Times New Roman"/>
      <family val="1"/>
    </font>
    <font>
      <sz val="6.5"/>
      <color theme="1"/>
      <name val="ＭＳ Ｐゴシック"/>
      <family val="2"/>
      <charset val="128"/>
    </font>
    <font>
      <sz val="10"/>
      <color indexed="8"/>
      <name val="Times New Roman"/>
      <family val="3"/>
      <charset val="134"/>
    </font>
  </fonts>
  <fills count="14">
    <fill>
      <patternFill patternType="none"/>
    </fill>
    <fill>
      <patternFill patternType="gray125"/>
    </fill>
    <fill>
      <patternFill patternType="solid">
        <fgColor indexed="43"/>
        <bgColor indexed="64"/>
      </patternFill>
    </fill>
    <fill>
      <patternFill patternType="solid">
        <fgColor indexed="23"/>
        <bgColor indexed="64"/>
      </patternFill>
    </fill>
    <fill>
      <patternFill patternType="solid">
        <fgColor indexed="11"/>
        <bgColor indexed="64"/>
      </patternFill>
    </fill>
    <fill>
      <patternFill patternType="solid">
        <fgColor indexed="45"/>
        <bgColor indexed="64"/>
      </patternFill>
    </fill>
    <fill>
      <patternFill patternType="solid">
        <fgColor indexed="42"/>
        <bgColor indexed="64"/>
      </patternFill>
    </fill>
    <fill>
      <patternFill patternType="solid">
        <fgColor indexed="10"/>
        <bgColor indexed="64"/>
      </patternFill>
    </fill>
    <fill>
      <patternFill patternType="solid">
        <fgColor indexed="47"/>
        <bgColor indexed="64"/>
      </patternFill>
    </fill>
    <fill>
      <patternFill patternType="solid">
        <fgColor rgb="FFFFCC99"/>
        <bgColor indexed="64"/>
      </patternFill>
    </fill>
    <fill>
      <patternFill patternType="solid">
        <fgColor theme="0"/>
        <bgColor indexed="64"/>
      </patternFill>
    </fill>
    <fill>
      <patternFill patternType="solid">
        <fgColor theme="0" tint="-0.14999847407452621"/>
        <bgColor indexed="64"/>
      </patternFill>
    </fill>
    <fill>
      <patternFill patternType="solid">
        <fgColor rgb="FFFF0000"/>
        <bgColor indexed="64"/>
      </patternFill>
    </fill>
    <fill>
      <patternFill patternType="solid">
        <fgColor theme="0" tint="-0.249977111117893"/>
        <bgColor indexed="64"/>
      </patternFill>
    </fill>
  </fills>
  <borders count="153">
    <border>
      <left/>
      <right/>
      <top/>
      <bottom/>
      <diagonal/>
    </border>
    <border>
      <left style="thin">
        <color indexed="64"/>
      </left>
      <right style="medium">
        <color indexed="64"/>
      </right>
      <top style="medium">
        <color indexed="64"/>
      </top>
      <bottom style="double">
        <color indexed="64"/>
      </bottom>
      <diagonal/>
    </border>
    <border>
      <left style="thin">
        <color indexed="64"/>
      </left>
      <right style="medium">
        <color indexed="64"/>
      </right>
      <top style="double">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thin">
        <color indexed="64"/>
      </top>
      <bottom style="hair">
        <color indexed="64"/>
      </bottom>
      <diagonal/>
    </border>
    <border>
      <left style="thin">
        <color indexed="64"/>
      </left>
      <right style="medium">
        <color indexed="64"/>
      </right>
      <top style="hair">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medium">
        <color indexed="64"/>
      </bottom>
      <diagonal/>
    </border>
    <border>
      <left style="thin">
        <color indexed="64"/>
      </left>
      <right style="thin">
        <color indexed="64"/>
      </right>
      <top style="medium">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bottom/>
      <diagonal/>
    </border>
    <border>
      <left/>
      <right style="medium">
        <color indexed="64"/>
      </right>
      <top/>
      <bottom style="thin">
        <color indexed="64"/>
      </bottom>
      <diagonal/>
    </border>
    <border>
      <left/>
      <right/>
      <top style="thin">
        <color indexed="64"/>
      </top>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thin">
        <color indexed="64"/>
      </left>
      <right/>
      <top style="thin">
        <color indexed="64"/>
      </top>
      <bottom/>
      <diagonal/>
    </border>
    <border>
      <left/>
      <right style="medium">
        <color indexed="64"/>
      </right>
      <top/>
      <bottom style="medium">
        <color indexed="64"/>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style="thin">
        <color indexed="64"/>
      </left>
      <right/>
      <top/>
      <bottom/>
      <diagonal/>
    </border>
    <border>
      <left/>
      <right/>
      <top/>
      <bottom style="medium">
        <color indexed="64"/>
      </bottom>
      <diagonal/>
    </border>
    <border>
      <left/>
      <right/>
      <top style="medium">
        <color indexed="64"/>
      </top>
      <bottom/>
      <diagonal/>
    </border>
    <border>
      <left style="medium">
        <color indexed="64"/>
      </left>
      <right/>
      <top style="medium">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right style="thin">
        <color indexed="64"/>
      </right>
      <top/>
      <bottom/>
      <diagonal/>
    </border>
    <border>
      <left style="medium">
        <color indexed="64"/>
      </left>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hair">
        <color indexed="64"/>
      </bottom>
      <diagonal/>
    </border>
    <border>
      <left style="medium">
        <color indexed="64"/>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medium">
        <color indexed="64"/>
      </left>
      <right/>
      <top style="thin">
        <color indexed="64"/>
      </top>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medium">
        <color indexed="64"/>
      </right>
      <top style="thin">
        <color indexed="64"/>
      </top>
      <bottom/>
      <diagonal/>
    </border>
    <border>
      <left/>
      <right style="medium">
        <color indexed="64"/>
      </right>
      <top style="thin">
        <color indexed="64"/>
      </top>
      <bottom style="medium">
        <color indexed="64"/>
      </bottom>
      <diagonal/>
    </border>
    <border>
      <left style="thin">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bottom style="medium">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dotted">
        <color indexed="64"/>
      </bottom>
      <diagonal/>
    </border>
    <border>
      <left style="thin">
        <color indexed="64"/>
      </left>
      <right style="medium">
        <color indexed="64"/>
      </right>
      <top style="thin">
        <color indexed="64"/>
      </top>
      <bottom style="dotted">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medium">
        <color indexed="64"/>
      </bottom>
      <diagonal/>
    </border>
    <border>
      <left/>
      <right/>
      <top style="medium">
        <color indexed="64"/>
      </top>
      <bottom style="dotted">
        <color indexed="64"/>
      </bottom>
      <diagonal/>
    </border>
    <border>
      <left/>
      <right/>
      <top style="mediumDashDot">
        <color indexed="64"/>
      </top>
      <bottom/>
      <diagonal/>
    </border>
    <border>
      <left style="dashDot">
        <color indexed="64"/>
      </left>
      <right/>
      <top style="dashDot">
        <color indexed="64"/>
      </top>
      <bottom/>
      <diagonal/>
    </border>
    <border>
      <left/>
      <right/>
      <top style="dashDot">
        <color indexed="64"/>
      </top>
      <bottom/>
      <diagonal/>
    </border>
    <border>
      <left/>
      <right style="dashDot">
        <color indexed="64"/>
      </right>
      <top style="dashDot">
        <color indexed="64"/>
      </top>
      <bottom/>
      <diagonal/>
    </border>
    <border>
      <left style="dashDot">
        <color indexed="64"/>
      </left>
      <right/>
      <top/>
      <bottom/>
      <diagonal/>
    </border>
    <border>
      <left/>
      <right style="dashDot">
        <color indexed="64"/>
      </right>
      <top/>
      <bottom/>
      <diagonal/>
    </border>
    <border>
      <left/>
      <right/>
      <top style="dotted">
        <color indexed="64"/>
      </top>
      <bottom/>
      <diagonal/>
    </border>
    <border>
      <left style="medium">
        <color indexed="64"/>
      </left>
      <right style="thin">
        <color indexed="64"/>
      </right>
      <top style="medium">
        <color indexed="64"/>
      </top>
      <bottom style="hair">
        <color indexed="64"/>
      </bottom>
      <diagonal/>
    </border>
    <border>
      <left style="hair">
        <color indexed="64"/>
      </left>
      <right style="medium">
        <color indexed="64"/>
      </right>
      <top style="medium">
        <color indexed="64"/>
      </top>
      <bottom/>
      <diagonal/>
    </border>
    <border>
      <left style="thin">
        <color indexed="64"/>
      </left>
      <right/>
      <top style="medium">
        <color indexed="64"/>
      </top>
      <bottom style="thin">
        <color indexed="64"/>
      </bottom>
      <diagonal/>
    </border>
    <border>
      <left style="medium">
        <color indexed="64"/>
      </left>
      <right style="thin">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dashDot">
        <color indexed="64"/>
      </left>
      <right/>
      <top/>
      <bottom style="dashDot">
        <color indexed="64"/>
      </bottom>
      <diagonal/>
    </border>
    <border>
      <left/>
      <right/>
      <top/>
      <bottom style="dashDot">
        <color indexed="64"/>
      </bottom>
      <diagonal/>
    </border>
    <border>
      <left/>
      <right style="dashDot">
        <color indexed="64"/>
      </right>
      <top/>
      <bottom style="dashDot">
        <color indexed="64"/>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thin">
        <color indexed="64"/>
      </right>
      <top/>
      <bottom style="medium">
        <color indexed="64"/>
      </bottom>
      <diagonal/>
    </border>
    <border>
      <left style="thin">
        <color indexed="64"/>
      </left>
      <right style="medium">
        <color indexed="64"/>
      </right>
      <top style="hair">
        <color indexed="64"/>
      </top>
      <bottom/>
      <diagonal/>
    </border>
    <border>
      <left style="thin">
        <color indexed="64"/>
      </left>
      <right/>
      <top style="medium">
        <color indexed="64"/>
      </top>
      <bottom style="double">
        <color indexed="64"/>
      </bottom>
      <diagonal/>
    </border>
    <border>
      <left style="thin">
        <color indexed="64"/>
      </left>
      <right style="medium">
        <color indexed="64"/>
      </right>
      <top/>
      <bottom style="hair">
        <color indexed="64"/>
      </bottom>
      <diagonal/>
    </border>
    <border>
      <left style="thin">
        <color indexed="64"/>
      </left>
      <right/>
      <top style="double">
        <color indexed="64"/>
      </top>
      <bottom style="hair">
        <color indexed="64"/>
      </bottom>
      <diagonal/>
    </border>
    <border>
      <left style="thin">
        <color indexed="64"/>
      </left>
      <right/>
      <top style="hair">
        <color indexed="64"/>
      </top>
      <bottom style="hair">
        <color indexed="64"/>
      </bottom>
      <diagonal/>
    </border>
    <border>
      <left style="thin">
        <color indexed="64"/>
      </left>
      <right/>
      <top style="hair">
        <color indexed="64"/>
      </top>
      <bottom/>
      <diagonal/>
    </border>
    <border>
      <left style="thin">
        <color indexed="64"/>
      </left>
      <right/>
      <top style="thin">
        <color indexed="64"/>
      </top>
      <bottom style="hair">
        <color indexed="64"/>
      </bottom>
      <diagonal/>
    </border>
    <border>
      <left style="thin">
        <color indexed="64"/>
      </left>
      <right/>
      <top/>
      <bottom style="hair">
        <color indexed="64"/>
      </bottom>
      <diagonal/>
    </border>
    <border>
      <left style="thin">
        <color indexed="64"/>
      </left>
      <right/>
      <top style="hair">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medium">
        <color indexed="64"/>
      </left>
      <right/>
      <top style="medium">
        <color indexed="64"/>
      </top>
      <bottom style="double">
        <color indexed="64"/>
      </bottom>
      <diagonal/>
    </border>
    <border>
      <left/>
      <right style="thin">
        <color indexed="64"/>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double">
        <color indexed="64"/>
      </top>
      <bottom/>
      <diagonal/>
    </border>
    <border>
      <left/>
      <right style="thin">
        <color indexed="64"/>
      </right>
      <top style="double">
        <color indexed="64"/>
      </top>
      <bottom/>
      <diagonal/>
    </border>
    <border>
      <left/>
      <right style="thin">
        <color indexed="64"/>
      </right>
      <top/>
      <bottom style="medium">
        <color indexed="64"/>
      </bottom>
      <diagonal/>
    </border>
    <border>
      <left style="thin">
        <color indexed="64"/>
      </left>
      <right/>
      <top style="double">
        <color indexed="64"/>
      </top>
      <bottom/>
      <diagonal/>
    </border>
    <border>
      <left/>
      <right/>
      <top style="double">
        <color indexed="64"/>
      </top>
      <bottom/>
      <diagonal/>
    </border>
    <border>
      <left/>
      <right style="medium">
        <color indexed="64"/>
      </right>
      <top style="double">
        <color indexed="64"/>
      </top>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style="medium">
        <color indexed="64"/>
      </left>
      <right/>
      <top style="double">
        <color indexed="64"/>
      </top>
      <bottom style="thin">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style="thin">
        <color indexed="64"/>
      </left>
      <right style="thin">
        <color indexed="64"/>
      </right>
      <top style="medium">
        <color indexed="64"/>
      </top>
      <bottom style="thin">
        <color indexed="64"/>
      </bottom>
      <diagonal/>
    </border>
    <border>
      <left/>
      <right/>
      <top style="double">
        <color indexed="64"/>
      </top>
      <bottom style="thin">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right/>
      <top style="hair">
        <color indexed="64"/>
      </top>
      <bottom/>
      <diagonal/>
    </border>
    <border>
      <left/>
      <right style="thin">
        <color indexed="64"/>
      </right>
      <top style="hair">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thin">
        <color indexed="64"/>
      </right>
      <top style="medium">
        <color indexed="64"/>
      </top>
      <bottom/>
      <diagonal/>
    </border>
    <border>
      <left/>
      <right style="medium">
        <color indexed="64"/>
      </right>
      <top style="double">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medium">
        <color indexed="64"/>
      </left>
      <right/>
      <top style="thin">
        <color indexed="64"/>
      </top>
      <bottom style="medium">
        <color indexed="64"/>
      </bottom>
      <diagonal/>
    </border>
    <border>
      <left/>
      <right/>
      <top style="dotted">
        <color indexed="64"/>
      </top>
      <bottom style="dotted">
        <color indexed="64"/>
      </bottom>
      <diagonal/>
    </border>
    <border>
      <left/>
      <right style="thin">
        <color indexed="64"/>
      </right>
      <top style="medium">
        <color indexed="64"/>
      </top>
      <bottom style="thin">
        <color indexed="64"/>
      </bottom>
      <diagonal/>
    </border>
    <border>
      <left/>
      <right style="hair">
        <color indexed="64"/>
      </right>
      <top style="hair">
        <color indexed="64"/>
      </top>
      <bottom style="medium">
        <color indexed="64"/>
      </bottom>
      <diagonal/>
    </border>
    <border>
      <left/>
      <right/>
      <top/>
      <bottom style="dotted">
        <color indexed="64"/>
      </bottom>
      <diagonal/>
    </border>
    <border>
      <left/>
      <right/>
      <top style="mediumDashDot">
        <color indexed="64"/>
      </top>
      <bottom style="dashDot">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880">
    <xf numFmtId="0" fontId="0" fillId="0" borderId="0" xfId="0"/>
    <xf numFmtId="0" fontId="19" fillId="0" borderId="0" xfId="0" applyFont="1"/>
    <xf numFmtId="0" fontId="19" fillId="0" borderId="0" xfId="0" applyFont="1" applyAlignment="1">
      <alignment horizontal="center"/>
    </xf>
    <xf numFmtId="0" fontId="19" fillId="0" borderId="0" xfId="0" applyFont="1" applyAlignment="1"/>
    <xf numFmtId="0" fontId="19" fillId="0" borderId="0" xfId="0" applyFont="1" applyAlignment="1">
      <alignment horizontal="left"/>
    </xf>
    <xf numFmtId="0" fontId="20" fillId="0" borderId="0" xfId="0" applyFont="1" applyAlignment="1">
      <alignment horizontal="right"/>
    </xf>
    <xf numFmtId="0" fontId="21" fillId="0" borderId="0" xfId="0" applyFont="1"/>
    <xf numFmtId="0" fontId="22" fillId="0" borderId="0" xfId="0" applyFont="1" applyAlignment="1">
      <alignment horizontal="left"/>
    </xf>
    <xf numFmtId="0" fontId="23" fillId="0" borderId="0" xfId="0" applyFont="1" applyAlignment="1">
      <alignment horizontal="left"/>
    </xf>
    <xf numFmtId="0" fontId="22" fillId="0" borderId="0" xfId="0" applyFont="1" applyAlignment="1"/>
    <xf numFmtId="0" fontId="22" fillId="0" borderId="0" xfId="0" applyFont="1"/>
    <xf numFmtId="0" fontId="24" fillId="0" borderId="0" xfId="0" applyFont="1" applyAlignment="1">
      <alignment horizontal="left"/>
    </xf>
    <xf numFmtId="0" fontId="20" fillId="0" borderId="0" xfId="0" applyFont="1"/>
    <xf numFmtId="0" fontId="20" fillId="0" borderId="0" xfId="0" applyFont="1" applyAlignment="1">
      <alignment horizontal="left"/>
    </xf>
    <xf numFmtId="56" fontId="19" fillId="0" borderId="0" xfId="0" applyNumberFormat="1" applyFont="1"/>
    <xf numFmtId="0" fontId="24" fillId="0" borderId="0" xfId="0" quotePrefix="1" applyFont="1" applyAlignment="1">
      <alignment horizontal="left"/>
    </xf>
    <xf numFmtId="0" fontId="19" fillId="0" borderId="0" xfId="0" applyFont="1" applyAlignment="1">
      <alignment horizontal="left" wrapText="1"/>
    </xf>
    <xf numFmtId="0" fontId="24" fillId="0" borderId="0" xfId="0" applyFont="1"/>
    <xf numFmtId="0" fontId="20" fillId="0" borderId="0" xfId="0" applyFont="1" applyAlignment="1"/>
    <xf numFmtId="0" fontId="20" fillId="0" borderId="0" xfId="0" quotePrefix="1" applyFont="1" applyAlignment="1">
      <alignment horizontal="left"/>
    </xf>
    <xf numFmtId="0" fontId="19" fillId="0" borderId="0" xfId="0" applyFont="1" applyFill="1"/>
    <xf numFmtId="0" fontId="19" fillId="0" borderId="0" xfId="0" applyFont="1" applyAlignment="1">
      <alignment wrapText="1"/>
    </xf>
    <xf numFmtId="0" fontId="25" fillId="0" borderId="0" xfId="0" applyFont="1" applyAlignment="1">
      <alignment horizontal="left"/>
    </xf>
    <xf numFmtId="0" fontId="26" fillId="0" borderId="0" xfId="0" applyFont="1" applyAlignment="1"/>
    <xf numFmtId="0" fontId="24" fillId="0" borderId="0" xfId="0" quotePrefix="1" applyFont="1" applyFill="1" applyAlignment="1">
      <alignment horizontal="left" vertical="top"/>
    </xf>
    <xf numFmtId="0" fontId="24" fillId="0" borderId="0" xfId="0" applyFont="1" applyFill="1" applyAlignment="1">
      <alignment horizontal="left"/>
    </xf>
    <xf numFmtId="0" fontId="19" fillId="0" borderId="0" xfId="0" applyFont="1" applyFill="1" applyAlignment="1"/>
    <xf numFmtId="0" fontId="27" fillId="0" borderId="0" xfId="0" applyFont="1" applyAlignment="1">
      <alignment horizontal="left"/>
    </xf>
    <xf numFmtId="0" fontId="28" fillId="0" borderId="0" xfId="0" applyFont="1" applyAlignment="1">
      <alignment horizontal="left"/>
    </xf>
    <xf numFmtId="0" fontId="27" fillId="0" borderId="0" xfId="0" quotePrefix="1" applyFont="1" applyFill="1" applyAlignment="1">
      <alignment horizontal="left"/>
    </xf>
    <xf numFmtId="0" fontId="19" fillId="0" borderId="0" xfId="0" applyFont="1" applyFill="1" applyAlignment="1">
      <alignment horizontal="left"/>
    </xf>
    <xf numFmtId="0" fontId="19" fillId="0" borderId="0" xfId="0" applyFont="1" applyFill="1" applyAlignment="1">
      <alignment horizontal="left" wrapText="1"/>
    </xf>
    <xf numFmtId="0" fontId="27" fillId="0" borderId="0" xfId="0" applyFont="1" applyFill="1" applyAlignment="1">
      <alignment horizontal="left" vertical="top"/>
    </xf>
    <xf numFmtId="0" fontId="19" fillId="0" borderId="0" xfId="0" applyFont="1" applyFill="1" applyAlignment="1">
      <alignment horizontal="left" vertical="top"/>
    </xf>
    <xf numFmtId="0" fontId="19" fillId="0" borderId="0" xfId="0" applyFont="1" applyFill="1" applyAlignment="1">
      <alignment horizontal="left" vertical="top" wrapText="1"/>
    </xf>
    <xf numFmtId="0" fontId="28" fillId="0" borderId="0" xfId="0" applyFont="1" applyFill="1" applyAlignment="1">
      <alignment horizontal="left" vertical="top"/>
    </xf>
    <xf numFmtId="0" fontId="28" fillId="0" borderId="0" xfId="0" applyFont="1" applyFill="1" applyAlignment="1">
      <alignment vertical="top" wrapText="1"/>
    </xf>
    <xf numFmtId="0" fontId="19" fillId="0" borderId="0" xfId="0" applyFont="1" applyFill="1" applyAlignment="1">
      <alignment vertical="top" wrapText="1"/>
    </xf>
    <xf numFmtId="0" fontId="27" fillId="0" borderId="0" xfId="0" quotePrefix="1" applyFont="1" applyFill="1" applyAlignment="1">
      <alignment horizontal="left" vertical="top"/>
    </xf>
    <xf numFmtId="0" fontId="24" fillId="0" borderId="0" xfId="0" quotePrefix="1" applyFont="1" applyFill="1" applyAlignment="1">
      <alignment horizontal="left"/>
    </xf>
    <xf numFmtId="0" fontId="28" fillId="0" borderId="0" xfId="0" applyFont="1" applyAlignment="1">
      <alignment horizontal="left" shrinkToFit="1"/>
    </xf>
    <xf numFmtId="0" fontId="29" fillId="0" borderId="0" xfId="0" applyFont="1" applyAlignment="1">
      <alignment horizontal="left"/>
    </xf>
    <xf numFmtId="0" fontId="30" fillId="0" borderId="0" xfId="0" applyFont="1"/>
    <xf numFmtId="0" fontId="21" fillId="0" borderId="0" xfId="0" applyFont="1" applyAlignment="1">
      <alignment horizontal="left"/>
    </xf>
    <xf numFmtId="0" fontId="31" fillId="0" borderId="0" xfId="0" applyFont="1" applyAlignment="1">
      <alignment horizontal="left"/>
    </xf>
    <xf numFmtId="0" fontId="28" fillId="0" borderId="1" xfId="0" applyFont="1" applyBorder="1" applyAlignment="1">
      <alignment horizontal="center" vertical="center" wrapText="1"/>
    </xf>
    <xf numFmtId="0" fontId="28" fillId="0" borderId="2" xfId="0" applyFont="1" applyBorder="1" applyAlignment="1">
      <alignment horizontal="center" vertical="center" shrinkToFit="1"/>
    </xf>
    <xf numFmtId="0" fontId="28" fillId="0" borderId="3" xfId="0" applyFont="1" applyBorder="1" applyAlignment="1">
      <alignment horizontal="center" vertical="center" shrinkToFit="1"/>
    </xf>
    <xf numFmtId="49" fontId="28" fillId="0" borderId="3" xfId="0" quotePrefix="1" applyNumberFormat="1" applyFont="1" applyBorder="1" applyAlignment="1">
      <alignment horizontal="center" vertical="center" shrinkToFit="1"/>
    </xf>
    <xf numFmtId="0" fontId="28" fillId="0" borderId="3" xfId="0" quotePrefix="1" applyFont="1" applyBorder="1" applyAlignment="1">
      <alignment horizontal="center" vertical="center" shrinkToFit="1"/>
    </xf>
    <xf numFmtId="0" fontId="28" fillId="0" borderId="4" xfId="0" quotePrefix="1" applyFont="1" applyBorder="1" applyAlignment="1">
      <alignment horizontal="center" vertical="center" shrinkToFit="1"/>
    </xf>
    <xf numFmtId="0" fontId="28" fillId="0" borderId="5" xfId="0" applyFont="1" applyBorder="1" applyAlignment="1">
      <alignment horizontal="center" vertical="center" shrinkToFit="1"/>
    </xf>
    <xf numFmtId="0" fontId="20" fillId="0" borderId="0" xfId="0" applyFont="1" applyBorder="1" applyAlignment="1">
      <alignment horizontal="left" vertical="center"/>
    </xf>
    <xf numFmtId="0" fontId="20" fillId="0" borderId="0" xfId="0" applyFont="1" applyBorder="1" applyAlignment="1">
      <alignment vertical="center"/>
    </xf>
    <xf numFmtId="0" fontId="20" fillId="0" borderId="0" xfId="0" applyFont="1" applyBorder="1" applyAlignment="1">
      <alignment horizontal="left" vertical="top" wrapText="1"/>
    </xf>
    <xf numFmtId="0" fontId="20" fillId="0" borderId="0" xfId="0" applyFont="1" applyBorder="1" applyAlignment="1">
      <alignment horizontal="left" vertical="top"/>
    </xf>
    <xf numFmtId="0" fontId="28" fillId="0" borderId="0" xfId="0" applyFont="1" applyBorder="1" applyAlignment="1">
      <alignment vertical="center" wrapText="1"/>
    </xf>
    <xf numFmtId="0" fontId="32" fillId="0" borderId="0" xfId="0" applyFont="1" applyBorder="1" applyAlignment="1">
      <alignment horizontal="left" vertical="center"/>
    </xf>
    <xf numFmtId="0" fontId="20" fillId="0" borderId="0" xfId="0" applyFont="1" applyBorder="1" applyAlignment="1">
      <alignment vertical="center" wrapText="1"/>
    </xf>
    <xf numFmtId="0" fontId="19" fillId="0" borderId="0" xfId="0" quotePrefix="1" applyFont="1" applyAlignment="1">
      <alignment horizontal="center"/>
    </xf>
    <xf numFmtId="0" fontId="20" fillId="0" borderId="6" xfId="0" applyFont="1" applyBorder="1" applyAlignment="1">
      <alignment horizontal="left" vertical="top" wrapText="1"/>
    </xf>
    <xf numFmtId="0" fontId="20" fillId="0" borderId="7" xfId="0" applyFont="1" applyBorder="1" applyAlignment="1"/>
    <xf numFmtId="0" fontId="19" fillId="0" borderId="7" xfId="0" applyFont="1" applyBorder="1" applyAlignment="1"/>
    <xf numFmtId="0" fontId="19" fillId="0" borderId="8" xfId="0" applyFont="1" applyBorder="1" applyAlignment="1"/>
    <xf numFmtId="0" fontId="19" fillId="0" borderId="9" xfId="0" applyFont="1" applyBorder="1" applyAlignment="1"/>
    <xf numFmtId="0" fontId="20" fillId="0" borderId="0" xfId="0" applyFont="1" applyBorder="1" applyAlignment="1">
      <alignment horizontal="center" vertical="center"/>
    </xf>
    <xf numFmtId="0" fontId="20" fillId="0" borderId="0" xfId="0" applyFont="1" applyBorder="1" applyAlignment="1">
      <alignment horizontal="left" vertical="center" wrapText="1"/>
    </xf>
    <xf numFmtId="0" fontId="19" fillId="0" borderId="0" xfId="0" applyFont="1" applyBorder="1" applyAlignment="1"/>
    <xf numFmtId="0" fontId="19" fillId="0" borderId="0" xfId="0" applyFont="1" applyBorder="1" applyAlignment="1">
      <alignment horizontal="center" vertical="center" wrapText="1"/>
    </xf>
    <xf numFmtId="0" fontId="19" fillId="0" borderId="0" xfId="0" applyFont="1" applyBorder="1" applyAlignment="1">
      <alignment horizontal="left"/>
    </xf>
    <xf numFmtId="0" fontId="28" fillId="0" borderId="0" xfId="0" applyFont="1" applyBorder="1" applyAlignment="1">
      <alignment horizontal="center" vertical="center" wrapText="1"/>
    </xf>
    <xf numFmtId="0" fontId="20" fillId="0" borderId="0" xfId="0" applyFont="1" applyAlignment="1">
      <alignment horizontal="center" vertical="top" shrinkToFit="1"/>
    </xf>
    <xf numFmtId="0" fontId="20" fillId="0" borderId="0" xfId="0" applyFont="1" applyAlignment="1">
      <alignment horizontal="justify" vertical="top"/>
    </xf>
    <xf numFmtId="0" fontId="19" fillId="0" borderId="0" xfId="0" applyFont="1" applyAlignment="1">
      <alignment vertical="top"/>
    </xf>
    <xf numFmtId="0" fontId="19" fillId="0" borderId="0" xfId="0" applyFont="1" applyAlignment="1">
      <alignment vertical="top" wrapText="1"/>
    </xf>
    <xf numFmtId="0" fontId="31" fillId="0" borderId="0" xfId="0" applyFont="1" applyBorder="1" applyAlignment="1">
      <alignment horizontal="left" vertical="top" wrapText="1"/>
    </xf>
    <xf numFmtId="0" fontId="30" fillId="0" borderId="0" xfId="0" applyFont="1" applyBorder="1" applyAlignment="1">
      <alignment vertical="top" wrapText="1"/>
    </xf>
    <xf numFmtId="0" fontId="24" fillId="0" borderId="10" xfId="0" applyFont="1" applyBorder="1" applyAlignment="1">
      <alignment horizontal="center" vertical="center" wrapText="1"/>
    </xf>
    <xf numFmtId="0" fontId="28" fillId="0" borderId="11" xfId="0" applyFont="1" applyBorder="1" applyAlignment="1">
      <alignment horizontal="center" vertical="top" wrapText="1"/>
    </xf>
    <xf numFmtId="0" fontId="28" fillId="0" borderId="12" xfId="0" applyFont="1" applyBorder="1" applyAlignment="1">
      <alignment horizontal="center" vertical="top" wrapText="1"/>
    </xf>
    <xf numFmtId="0" fontId="28" fillId="0" borderId="13" xfId="0" applyFont="1" applyBorder="1" applyAlignment="1">
      <alignment horizontal="center" vertical="top" wrapText="1"/>
    </xf>
    <xf numFmtId="0" fontId="20" fillId="0" borderId="0" xfId="0" applyFont="1" applyBorder="1" applyAlignment="1">
      <alignment horizontal="center" vertical="top" shrinkToFit="1"/>
    </xf>
    <xf numFmtId="0" fontId="19" fillId="0" borderId="0" xfId="0" applyFont="1" applyBorder="1" applyAlignment="1">
      <alignment vertical="top"/>
    </xf>
    <xf numFmtId="0" fontId="19" fillId="0" borderId="0" xfId="0" applyFont="1" applyBorder="1" applyAlignment="1">
      <alignment vertical="top" wrapText="1"/>
    </xf>
    <xf numFmtId="0" fontId="28" fillId="0" borderId="0" xfId="0" applyFont="1" applyBorder="1" applyAlignment="1">
      <alignment horizontal="center" vertical="top" wrapText="1"/>
    </xf>
    <xf numFmtId="0" fontId="20" fillId="0" borderId="0" xfId="0" applyFont="1" applyBorder="1" applyAlignment="1">
      <alignment horizontal="center" vertical="top" wrapText="1"/>
    </xf>
    <xf numFmtId="0" fontId="31" fillId="0" borderId="0" xfId="0" applyFont="1" applyBorder="1" applyAlignment="1">
      <alignment horizontal="left" vertical="top" shrinkToFit="1"/>
    </xf>
    <xf numFmtId="0" fontId="33" fillId="0" borderId="0" xfId="0" applyFont="1" applyBorder="1" applyAlignment="1">
      <alignment horizontal="left" vertical="top"/>
    </xf>
    <xf numFmtId="0" fontId="19" fillId="0" borderId="0" xfId="0" applyFont="1" applyAlignment="1">
      <alignment vertical="center"/>
    </xf>
    <xf numFmtId="0" fontId="24" fillId="0" borderId="1" xfId="0" applyFont="1" applyBorder="1" applyAlignment="1">
      <alignment horizontal="center" vertical="center" wrapText="1"/>
    </xf>
    <xf numFmtId="0" fontId="28" fillId="0" borderId="14" xfId="0" applyFont="1" applyBorder="1" applyAlignment="1">
      <alignment horizontal="center" vertical="top" wrapText="1"/>
    </xf>
    <xf numFmtId="0" fontId="20" fillId="0" borderId="0" xfId="0" quotePrefix="1" applyNumberFormat="1" applyFont="1" applyBorder="1" applyAlignment="1">
      <alignment vertical="top" wrapText="1"/>
    </xf>
    <xf numFmtId="0" fontId="28" fillId="0" borderId="15" xfId="0" applyFont="1" applyBorder="1" applyAlignment="1">
      <alignment horizontal="center" vertical="top" wrapText="1"/>
    </xf>
    <xf numFmtId="0" fontId="20" fillId="0" borderId="16" xfId="0" applyFont="1" applyBorder="1" applyAlignment="1">
      <alignment vertical="top" wrapText="1"/>
    </xf>
    <xf numFmtId="0" fontId="20" fillId="0" borderId="0" xfId="0" applyFont="1" applyBorder="1" applyAlignment="1">
      <alignment vertical="top" wrapText="1"/>
    </xf>
    <xf numFmtId="0" fontId="28" fillId="0" borderId="17" xfId="0" applyFont="1" applyBorder="1" applyAlignment="1">
      <alignment horizontal="center" vertical="top" wrapText="1"/>
    </xf>
    <xf numFmtId="0" fontId="31" fillId="0" borderId="0" xfId="0" applyFont="1" applyAlignment="1">
      <alignment horizontal="left" vertical="center"/>
    </xf>
    <xf numFmtId="0" fontId="25" fillId="0" borderId="0" xfId="0" applyFont="1" applyAlignment="1">
      <alignment horizontal="left" vertical="center"/>
    </xf>
    <xf numFmtId="0" fontId="30" fillId="0" borderId="0" xfId="0" applyFont="1" applyAlignment="1">
      <alignment vertical="center"/>
    </xf>
    <xf numFmtId="0" fontId="30" fillId="0" borderId="0" xfId="0" applyFont="1" applyAlignment="1">
      <alignment horizontal="left"/>
    </xf>
    <xf numFmtId="0" fontId="20" fillId="0" borderId="0" xfId="0" applyFont="1" applyAlignment="1">
      <alignment vertical="center"/>
    </xf>
    <xf numFmtId="0" fontId="20" fillId="0" borderId="0" xfId="0" applyFont="1" applyAlignment="1">
      <alignment horizontal="left" vertical="center"/>
    </xf>
    <xf numFmtId="0" fontId="20" fillId="0" borderId="0" xfId="0" applyFont="1" applyAlignment="1">
      <alignment horizontal="center" vertical="center"/>
    </xf>
    <xf numFmtId="0" fontId="20" fillId="0" borderId="18" xfId="0" applyFont="1" applyBorder="1" applyAlignment="1">
      <alignment horizontal="center" vertical="center"/>
    </xf>
    <xf numFmtId="0" fontId="20" fillId="0" borderId="19" xfId="0" applyFont="1" applyBorder="1" applyAlignment="1">
      <alignment vertical="center"/>
    </xf>
    <xf numFmtId="0" fontId="20" fillId="0" borderId="20" xfId="0" applyFont="1" applyBorder="1" applyAlignment="1">
      <alignment horizontal="center" vertical="center"/>
    </xf>
    <xf numFmtId="0" fontId="20" fillId="0" borderId="21" xfId="0" applyFont="1" applyBorder="1" applyAlignment="1">
      <alignment vertical="center"/>
    </xf>
    <xf numFmtId="0" fontId="20" fillId="0" borderId="22" xfId="0" applyFont="1" applyBorder="1" applyAlignment="1">
      <alignment vertical="center"/>
    </xf>
    <xf numFmtId="0" fontId="20" fillId="0" borderId="0" xfId="0" quotePrefix="1" applyFont="1" applyBorder="1" applyAlignment="1">
      <alignment vertical="center"/>
    </xf>
    <xf numFmtId="0" fontId="20" fillId="0" borderId="0" xfId="0" applyFont="1" applyBorder="1" applyAlignment="1">
      <alignment horizontal="right" vertical="center"/>
    </xf>
    <xf numFmtId="0" fontId="19" fillId="0" borderId="0" xfId="0" applyFont="1" applyAlignment="1">
      <alignment vertical="center" wrapText="1"/>
    </xf>
    <xf numFmtId="0" fontId="19" fillId="0" borderId="0" xfId="0" applyFont="1" applyBorder="1" applyAlignment="1">
      <alignment vertical="center" wrapText="1"/>
    </xf>
    <xf numFmtId="0" fontId="20" fillId="0" borderId="23" xfId="0" applyFont="1" applyBorder="1" applyAlignment="1">
      <alignment vertical="center"/>
    </xf>
    <xf numFmtId="0" fontId="20" fillId="0" borderId="24" xfId="0" applyFont="1" applyBorder="1" applyAlignment="1">
      <alignment vertical="center"/>
    </xf>
    <xf numFmtId="0" fontId="20" fillId="0" borderId="25" xfId="0" applyFont="1" applyBorder="1" applyAlignment="1">
      <alignment vertical="center"/>
    </xf>
    <xf numFmtId="0" fontId="20" fillId="0" borderId="26" xfId="0" applyFont="1" applyBorder="1" applyAlignment="1"/>
    <xf numFmtId="0" fontId="30" fillId="0" borderId="0" xfId="0" applyFont="1" applyAlignment="1"/>
    <xf numFmtId="0" fontId="20" fillId="0" borderId="27" xfId="0" applyFont="1" applyBorder="1" applyAlignment="1">
      <alignment horizontal="left" vertical="top"/>
    </xf>
    <xf numFmtId="0" fontId="20" fillId="0" borderId="24" xfId="0" applyFont="1" applyBorder="1" applyAlignment="1">
      <alignment horizontal="left" vertical="top"/>
    </xf>
    <xf numFmtId="0" fontId="20" fillId="0" borderId="26" xfId="0" applyFont="1" applyBorder="1" applyAlignment="1">
      <alignment vertical="center"/>
    </xf>
    <xf numFmtId="0" fontId="19" fillId="0" borderId="6" xfId="0" applyFont="1" applyBorder="1" applyAlignment="1">
      <alignment vertical="center"/>
    </xf>
    <xf numFmtId="0" fontId="20" fillId="0" borderId="7" xfId="0" applyFont="1" applyBorder="1" applyAlignment="1">
      <alignment horizontal="left" vertical="top"/>
    </xf>
    <xf numFmtId="0" fontId="20" fillId="0" borderId="7" xfId="0" applyFont="1" applyBorder="1" applyAlignment="1">
      <alignment vertical="center"/>
    </xf>
    <xf numFmtId="0" fontId="20" fillId="0" borderId="7" xfId="0" applyFont="1" applyBorder="1" applyAlignment="1">
      <alignment horizontal="left" vertical="center"/>
    </xf>
    <xf numFmtId="0" fontId="20" fillId="0" borderId="0" xfId="0" applyFont="1" applyAlignment="1">
      <alignment vertical="center" wrapText="1"/>
    </xf>
    <xf numFmtId="0" fontId="20" fillId="0" borderId="9" xfId="0" applyFont="1" applyBorder="1" applyAlignment="1">
      <alignment horizontal="left" vertical="center"/>
    </xf>
    <xf numFmtId="0" fontId="20" fillId="0" borderId="28" xfId="0" applyFont="1" applyBorder="1" applyAlignment="1">
      <alignment vertical="center"/>
    </xf>
    <xf numFmtId="0" fontId="34" fillId="0" borderId="0" xfId="0" applyFont="1" applyAlignment="1">
      <alignment horizontal="left" vertical="center"/>
    </xf>
    <xf numFmtId="0" fontId="32" fillId="0" borderId="0" xfId="0" applyFont="1" applyAlignment="1">
      <alignment vertical="center"/>
    </xf>
    <xf numFmtId="0" fontId="32" fillId="0" borderId="0" xfId="0" applyFont="1" applyAlignment="1">
      <alignment horizontal="left" vertical="center"/>
    </xf>
    <xf numFmtId="0" fontId="21" fillId="0" borderId="29" xfId="0" applyFont="1" applyBorder="1" applyAlignment="1">
      <alignment horizontal="left" vertical="center"/>
    </xf>
    <xf numFmtId="0" fontId="19" fillId="0" borderId="30" xfId="0" applyFont="1" applyBorder="1"/>
    <xf numFmtId="0" fontId="19" fillId="0" borderId="22" xfId="0" applyFont="1" applyBorder="1"/>
    <xf numFmtId="0" fontId="32" fillId="0" borderId="31" xfId="0" applyFont="1" applyBorder="1" applyAlignment="1">
      <alignment horizontal="left" vertical="center"/>
    </xf>
    <xf numFmtId="0" fontId="19" fillId="0" borderId="23" xfId="0" applyFont="1" applyBorder="1"/>
    <xf numFmtId="0" fontId="19" fillId="0" borderId="26" xfId="0" applyFont="1" applyBorder="1"/>
    <xf numFmtId="56" fontId="21" fillId="0" borderId="0" xfId="0" applyNumberFormat="1" applyFont="1"/>
    <xf numFmtId="0" fontId="30" fillId="0" borderId="22" xfId="0" applyFont="1" applyBorder="1"/>
    <xf numFmtId="0" fontId="30" fillId="0" borderId="31" xfId="0" applyFont="1" applyBorder="1" applyAlignment="1">
      <alignment shrinkToFit="1"/>
    </xf>
    <xf numFmtId="0" fontId="20" fillId="0" borderId="6" xfId="0" applyFont="1" applyBorder="1" applyAlignment="1">
      <alignment horizontal="left" vertical="center" shrinkToFit="1"/>
    </xf>
    <xf numFmtId="0" fontId="30" fillId="0" borderId="26" xfId="0" applyFont="1" applyBorder="1"/>
    <xf numFmtId="0" fontId="30" fillId="0" borderId="28" xfId="0" applyFont="1" applyBorder="1"/>
    <xf numFmtId="0" fontId="21" fillId="0" borderId="0" xfId="0" applyFont="1" applyAlignment="1">
      <alignment horizontal="center"/>
    </xf>
    <xf numFmtId="0" fontId="21" fillId="0" borderId="0" xfId="0" applyFont="1" applyAlignment="1"/>
    <xf numFmtId="0" fontId="20" fillId="0" borderId="0" xfId="0" applyFont="1" applyProtection="1"/>
    <xf numFmtId="0" fontId="20" fillId="0" borderId="0" xfId="0" applyFont="1" applyAlignment="1" applyProtection="1">
      <alignment horizontal="left" vertical="top"/>
      <protection locked="0"/>
    </xf>
    <xf numFmtId="0" fontId="20" fillId="0" borderId="0" xfId="0" applyFont="1" applyAlignment="1" applyProtection="1">
      <alignment horizontal="left" vertical="top"/>
    </xf>
    <xf numFmtId="0" fontId="28" fillId="0" borderId="0" xfId="0" applyFont="1" applyAlignment="1">
      <alignment horizontal="right" vertical="top"/>
    </xf>
    <xf numFmtId="0" fontId="24" fillId="0" borderId="0" xfId="0" applyFont="1" applyProtection="1"/>
    <xf numFmtId="0" fontId="24" fillId="0" borderId="0" xfId="0" applyFont="1" applyAlignment="1">
      <alignment horizontal="left" vertical="center"/>
    </xf>
    <xf numFmtId="0" fontId="19" fillId="0" borderId="32" xfId="0" applyFont="1" applyBorder="1" applyAlignment="1">
      <alignment shrinkToFit="1"/>
    </xf>
    <xf numFmtId="0" fontId="29" fillId="0" borderId="0" xfId="0" applyFont="1" applyProtection="1"/>
    <xf numFmtId="0" fontId="19" fillId="0" borderId="0" xfId="0" applyFont="1" applyBorder="1" applyProtection="1">
      <protection locked="0"/>
    </xf>
    <xf numFmtId="0" fontId="19" fillId="0" borderId="0" xfId="0" applyFont="1" applyBorder="1" applyAlignment="1" applyProtection="1">
      <alignment horizontal="left" vertical="center" wrapText="1"/>
      <protection locked="0"/>
    </xf>
    <xf numFmtId="0" fontId="19" fillId="0" borderId="33" xfId="0" applyFont="1" applyBorder="1" applyAlignment="1" applyProtection="1">
      <alignment horizontal="left" vertical="center" wrapText="1"/>
      <protection locked="0"/>
    </xf>
    <xf numFmtId="0" fontId="20" fillId="0" borderId="33" xfId="0" applyFont="1" applyBorder="1" applyAlignment="1" applyProtection="1">
      <alignment horizontal="center" vertical="center" wrapText="1"/>
    </xf>
    <xf numFmtId="0" fontId="35" fillId="0" borderId="32" xfId="0" applyFont="1" applyBorder="1" applyAlignment="1">
      <alignment horizontal="center" vertical="center"/>
    </xf>
    <xf numFmtId="0" fontId="32" fillId="0" borderId="0" xfId="0" applyFont="1"/>
    <xf numFmtId="0" fontId="32" fillId="0" borderId="0" xfId="0" applyFont="1" applyProtection="1"/>
    <xf numFmtId="0" fontId="35" fillId="0" borderId="0" xfId="0" applyFont="1" applyProtection="1"/>
    <xf numFmtId="0" fontId="20" fillId="0" borderId="34" xfId="0" applyFont="1" applyBorder="1"/>
    <xf numFmtId="0" fontId="20" fillId="0" borderId="33" xfId="0" applyFont="1" applyBorder="1"/>
    <xf numFmtId="0" fontId="28" fillId="0" borderId="16" xfId="0" applyFont="1" applyBorder="1" applyAlignment="1">
      <alignment horizontal="center" wrapText="1"/>
    </xf>
    <xf numFmtId="0" fontId="28" fillId="0" borderId="35" xfId="0" applyFont="1" applyBorder="1" applyAlignment="1">
      <alignment horizontal="center" wrapText="1"/>
    </xf>
    <xf numFmtId="0" fontId="28" fillId="0" borderId="0" xfId="0" applyFont="1" applyBorder="1" applyAlignment="1">
      <alignment horizontal="center" wrapText="1"/>
    </xf>
    <xf numFmtId="0" fontId="36" fillId="0" borderId="36" xfId="0" applyFont="1" applyBorder="1" applyAlignment="1">
      <alignment horizontal="center" shrinkToFit="1"/>
    </xf>
    <xf numFmtId="0" fontId="28" fillId="0" borderId="37" xfId="0" applyFont="1" applyBorder="1" applyAlignment="1">
      <alignment horizontal="center" vertical="center" wrapText="1"/>
    </xf>
    <xf numFmtId="0" fontId="36" fillId="0" borderId="38" xfId="0" applyFont="1" applyBorder="1" applyAlignment="1">
      <alignment horizontal="center" vertical="center" wrapText="1"/>
    </xf>
    <xf numFmtId="0" fontId="36" fillId="0" borderId="31" xfId="0" applyFont="1" applyBorder="1" applyAlignment="1">
      <alignment horizontal="center" vertical="center" wrapText="1"/>
    </xf>
    <xf numFmtId="0" fontId="36" fillId="0" borderId="37" xfId="0" applyFont="1" applyBorder="1" applyAlignment="1">
      <alignment horizontal="center" vertical="center" wrapText="1"/>
    </xf>
    <xf numFmtId="0" fontId="37" fillId="0" borderId="31" xfId="0" applyFont="1" applyBorder="1" applyAlignment="1">
      <alignment horizontal="center" vertical="center" shrinkToFit="1"/>
    </xf>
    <xf numFmtId="0" fontId="35" fillId="2" borderId="39" xfId="0" applyFont="1" applyFill="1" applyBorder="1" applyAlignment="1">
      <alignment horizontal="left" vertical="center" wrapText="1"/>
    </xf>
    <xf numFmtId="0" fontId="28" fillId="0" borderId="40" xfId="0" applyFont="1" applyBorder="1" applyAlignment="1">
      <alignment horizontal="center" vertical="center" wrapText="1"/>
    </xf>
    <xf numFmtId="0" fontId="36" fillId="0" borderId="8" xfId="0" applyFont="1" applyBorder="1" applyAlignment="1">
      <alignment horizontal="center" vertical="top" shrinkToFit="1"/>
    </xf>
    <xf numFmtId="0" fontId="36" fillId="0" borderId="7" xfId="0" applyFont="1" applyBorder="1" applyAlignment="1">
      <alignment horizontal="center" vertical="top" shrinkToFit="1"/>
    </xf>
    <xf numFmtId="0" fontId="36" fillId="0" borderId="41" xfId="0" applyFont="1" applyBorder="1" applyAlignment="1">
      <alignment horizontal="center" vertical="top" wrapText="1"/>
    </xf>
    <xf numFmtId="0" fontId="37" fillId="0" borderId="6" xfId="0" applyFont="1" applyBorder="1" applyAlignment="1">
      <alignment horizontal="center" vertical="top" shrinkToFit="1"/>
    </xf>
    <xf numFmtId="0" fontId="37" fillId="0" borderId="23" xfId="0" applyFont="1" applyBorder="1" applyAlignment="1">
      <alignment horizontal="center" vertical="center" wrapText="1"/>
    </xf>
    <xf numFmtId="0" fontId="35" fillId="0" borderId="42" xfId="0" applyFont="1" applyBorder="1" applyAlignment="1" applyProtection="1">
      <alignment horizontal="center" wrapText="1"/>
    </xf>
    <xf numFmtId="0" fontId="35" fillId="0" borderId="42" xfId="0" applyFont="1" applyBorder="1" applyAlignment="1" applyProtection="1">
      <alignment horizontal="center" vertical="center" textRotation="255" wrapText="1"/>
    </xf>
    <xf numFmtId="0" fontId="35" fillId="0" borderId="31" xfId="0" applyFont="1" applyBorder="1" applyAlignment="1" applyProtection="1">
      <alignment horizontal="center" wrapText="1"/>
    </xf>
    <xf numFmtId="0" fontId="35" fillId="0" borderId="0" xfId="0" applyFont="1" applyBorder="1" applyAlignment="1" applyProtection="1">
      <alignment horizontal="center" wrapText="1"/>
    </xf>
    <xf numFmtId="0" fontId="35" fillId="0" borderId="38" xfId="0" applyFont="1" applyBorder="1" applyAlignment="1" applyProtection="1">
      <alignment horizontal="center" wrapText="1"/>
    </xf>
    <xf numFmtId="0" fontId="32" fillId="0" borderId="40" xfId="0" applyFont="1" applyFill="1" applyBorder="1" applyAlignment="1">
      <alignment horizontal="center" vertical="center" wrapText="1"/>
    </xf>
    <xf numFmtId="0" fontId="32" fillId="0" borderId="8" xfId="0" applyFont="1" applyFill="1" applyBorder="1" applyAlignment="1">
      <alignment horizontal="center" vertical="center" wrapText="1"/>
    </xf>
    <xf numFmtId="0" fontId="32" fillId="0" borderId="7" xfId="0" applyFont="1" applyFill="1" applyBorder="1" applyAlignment="1">
      <alignment horizontal="center" vertical="center" wrapText="1"/>
    </xf>
    <xf numFmtId="0" fontId="28" fillId="0" borderId="41" xfId="0" applyFont="1" applyBorder="1" applyAlignment="1">
      <alignment horizontal="center" vertical="center" wrapText="1"/>
    </xf>
    <xf numFmtId="0" fontId="32" fillId="0" borderId="6" xfId="0" applyFont="1" applyFill="1" applyBorder="1" applyAlignment="1">
      <alignment horizontal="center" vertical="center" wrapText="1"/>
    </xf>
    <xf numFmtId="0" fontId="20" fillId="2" borderId="43" xfId="0" applyFont="1" applyFill="1" applyBorder="1" applyProtection="1">
      <protection locked="0"/>
    </xf>
    <xf numFmtId="0" fontId="32" fillId="3" borderId="8" xfId="0" applyFont="1" applyFill="1" applyBorder="1" applyAlignment="1">
      <alignment horizontal="center" vertical="center" wrapText="1"/>
    </xf>
    <xf numFmtId="0" fontId="28" fillId="0" borderId="44" xfId="0" applyFont="1" applyBorder="1" applyAlignment="1">
      <alignment horizontal="center" vertical="center" wrapText="1"/>
    </xf>
    <xf numFmtId="0" fontId="32" fillId="0" borderId="45" xfId="0" applyFont="1" applyFill="1" applyBorder="1" applyAlignment="1">
      <alignment horizontal="center" vertical="center" wrapText="1"/>
    </xf>
    <xf numFmtId="0" fontId="32" fillId="0" borderId="46" xfId="0" applyFont="1" applyBorder="1" applyProtection="1"/>
    <xf numFmtId="0" fontId="32" fillId="4" borderId="47" xfId="0" applyFont="1" applyFill="1" applyBorder="1" applyProtection="1"/>
    <xf numFmtId="0" fontId="32" fillId="3" borderId="48" xfId="0" applyFont="1" applyFill="1" applyBorder="1" applyProtection="1"/>
    <xf numFmtId="0" fontId="32" fillId="5" borderId="49" xfId="0" applyFont="1" applyFill="1" applyBorder="1" applyProtection="1"/>
    <xf numFmtId="0" fontId="32" fillId="5" borderId="47" xfId="0" applyFont="1" applyFill="1" applyBorder="1" applyProtection="1"/>
    <xf numFmtId="0" fontId="32" fillId="6" borderId="48" xfId="0" applyFont="1" applyFill="1" applyBorder="1" applyProtection="1"/>
    <xf numFmtId="0" fontId="32" fillId="5" borderId="48" xfId="0" applyFont="1" applyFill="1" applyBorder="1" applyProtection="1"/>
    <xf numFmtId="0" fontId="32" fillId="0" borderId="37" xfId="0" applyFont="1" applyFill="1" applyBorder="1" applyAlignment="1">
      <alignment horizontal="center" vertical="center" wrapText="1"/>
    </xf>
    <xf numFmtId="0" fontId="32" fillId="3" borderId="38" xfId="0" applyFont="1" applyFill="1" applyBorder="1" applyAlignment="1">
      <alignment horizontal="center" vertical="center" wrapText="1"/>
    </xf>
    <xf numFmtId="0" fontId="32" fillId="0" borderId="0" xfId="0" applyFont="1" applyFill="1" applyBorder="1" applyAlignment="1">
      <alignment horizontal="center" vertical="center" wrapText="1"/>
    </xf>
    <xf numFmtId="0" fontId="28" fillId="0" borderId="50" xfId="0" applyFont="1" applyBorder="1" applyAlignment="1">
      <alignment horizontal="center" vertical="center" wrapText="1"/>
    </xf>
    <xf numFmtId="0" fontId="32" fillId="0" borderId="27" xfId="0" applyFont="1" applyFill="1" applyBorder="1" applyAlignment="1">
      <alignment horizontal="center" vertical="center" wrapText="1"/>
    </xf>
    <xf numFmtId="0" fontId="32" fillId="0" borderId="20" xfId="0" applyFont="1" applyFill="1" applyBorder="1" applyAlignment="1">
      <alignment horizontal="center" vertical="center" wrapText="1"/>
    </xf>
    <xf numFmtId="0" fontId="32" fillId="3" borderId="51" xfId="0" applyFont="1" applyFill="1" applyBorder="1" applyAlignment="1">
      <alignment horizontal="center" vertical="center" wrapText="1"/>
    </xf>
    <xf numFmtId="0" fontId="32" fillId="0" borderId="21" xfId="0" applyFont="1" applyFill="1" applyBorder="1" applyAlignment="1">
      <alignment horizontal="center" vertical="center" wrapText="1"/>
    </xf>
    <xf numFmtId="0" fontId="32" fillId="0" borderId="22" xfId="0" applyFont="1" applyFill="1" applyBorder="1" applyAlignment="1">
      <alignment horizontal="center" vertical="center" wrapText="1"/>
    </xf>
    <xf numFmtId="0" fontId="32" fillId="0" borderId="52" xfId="0" applyFont="1" applyFill="1" applyBorder="1" applyAlignment="1">
      <alignment horizontal="center" vertical="center" wrapText="1"/>
    </xf>
    <xf numFmtId="0" fontId="32" fillId="3" borderId="53" xfId="0" applyFont="1" applyFill="1" applyBorder="1" applyAlignment="1">
      <alignment horizontal="center" vertical="center" wrapText="1"/>
    </xf>
    <xf numFmtId="0" fontId="32" fillId="0" borderId="54" xfId="0" applyFont="1" applyFill="1" applyBorder="1" applyAlignment="1">
      <alignment horizontal="center" vertical="center" wrapText="1"/>
    </xf>
    <xf numFmtId="0" fontId="28" fillId="0" borderId="52" xfId="0" applyFont="1" applyBorder="1" applyAlignment="1">
      <alignment horizontal="center" vertical="center" wrapText="1"/>
    </xf>
    <xf numFmtId="0" fontId="32" fillId="0" borderId="55" xfId="0" applyFont="1" applyFill="1" applyBorder="1" applyAlignment="1">
      <alignment horizontal="center" vertical="center" wrapText="1"/>
    </xf>
    <xf numFmtId="0" fontId="32" fillId="3" borderId="40" xfId="0" applyFont="1" applyFill="1" applyBorder="1" applyAlignment="1">
      <alignment horizontal="center" vertical="center" wrapText="1"/>
    </xf>
    <xf numFmtId="0" fontId="32" fillId="3" borderId="56" xfId="0" applyFont="1" applyFill="1" applyBorder="1" applyAlignment="1">
      <alignment horizontal="center" vertical="center" wrapText="1"/>
    </xf>
    <xf numFmtId="0" fontId="32" fillId="7" borderId="49" xfId="0" applyFont="1" applyFill="1" applyBorder="1" applyProtection="1"/>
    <xf numFmtId="0" fontId="32" fillId="3" borderId="47" xfId="0" applyFont="1" applyFill="1" applyBorder="1" applyProtection="1"/>
    <xf numFmtId="0" fontId="32" fillId="3" borderId="49" xfId="0" applyFont="1" applyFill="1" applyBorder="1" applyProtection="1"/>
    <xf numFmtId="0" fontId="32" fillId="3" borderId="20" xfId="0" applyFont="1" applyFill="1" applyBorder="1" applyAlignment="1">
      <alignment horizontal="center" vertical="center" wrapText="1"/>
    </xf>
    <xf numFmtId="0" fontId="32" fillId="3" borderId="12" xfId="0" applyFont="1" applyFill="1" applyBorder="1"/>
    <xf numFmtId="0" fontId="32" fillId="0" borderId="36" xfId="0" applyFont="1" applyFill="1" applyBorder="1" applyAlignment="1">
      <alignment horizontal="center" vertical="center" wrapText="1"/>
    </xf>
    <xf numFmtId="0" fontId="32" fillId="3" borderId="57" xfId="0" applyFont="1" applyFill="1" applyBorder="1" applyAlignment="1">
      <alignment horizontal="center" vertical="center" wrapText="1"/>
    </xf>
    <xf numFmtId="0" fontId="32" fillId="0" borderId="24" xfId="0" applyFont="1" applyFill="1" applyBorder="1" applyAlignment="1">
      <alignment horizontal="center" vertical="center" wrapText="1"/>
    </xf>
    <xf numFmtId="0" fontId="32" fillId="3" borderId="36" xfId="0" applyFont="1" applyFill="1" applyBorder="1" applyAlignment="1">
      <alignment horizontal="center" vertical="center" wrapText="1"/>
    </xf>
    <xf numFmtId="0" fontId="32" fillId="3" borderId="27" xfId="0" applyFont="1" applyFill="1" applyBorder="1"/>
    <xf numFmtId="0" fontId="32" fillId="4" borderId="58" xfId="0" applyFont="1" applyFill="1" applyBorder="1" applyProtection="1"/>
    <xf numFmtId="0" fontId="32" fillId="3" borderId="59" xfId="0" applyFont="1" applyFill="1" applyBorder="1" applyProtection="1"/>
    <xf numFmtId="0" fontId="32" fillId="7" borderId="60" xfId="0" applyFont="1" applyFill="1" applyBorder="1" applyProtection="1"/>
    <xf numFmtId="0" fontId="32" fillId="3" borderId="58" xfId="0" applyFont="1" applyFill="1" applyBorder="1" applyProtection="1"/>
    <xf numFmtId="0" fontId="32" fillId="3" borderId="60" xfId="0" applyFont="1" applyFill="1" applyBorder="1" applyProtection="1"/>
    <xf numFmtId="0" fontId="32" fillId="3" borderId="12" xfId="0" applyFont="1" applyFill="1" applyBorder="1" applyAlignment="1">
      <alignment horizontal="center" vertical="center" wrapText="1"/>
    </xf>
    <xf numFmtId="0" fontId="32" fillId="0" borderId="15" xfId="0" applyFont="1" applyFill="1" applyBorder="1" applyAlignment="1">
      <alignment horizontal="center" vertical="center" wrapText="1"/>
    </xf>
    <xf numFmtId="0" fontId="29" fillId="3" borderId="45" xfId="0" applyFont="1" applyFill="1" applyBorder="1" applyAlignment="1">
      <alignment horizontal="center" vertical="center"/>
    </xf>
    <xf numFmtId="0" fontId="29" fillId="3" borderId="25" xfId="0" applyFont="1" applyFill="1" applyBorder="1" applyAlignment="1">
      <alignment horizontal="center" vertical="center"/>
    </xf>
    <xf numFmtId="0" fontId="32" fillId="4" borderId="61" xfId="0" applyFont="1" applyFill="1" applyBorder="1" applyProtection="1"/>
    <xf numFmtId="0" fontId="32" fillId="3" borderId="62" xfId="0" applyFont="1" applyFill="1" applyBorder="1" applyProtection="1"/>
    <xf numFmtId="0" fontId="32" fillId="7" borderId="63" xfId="0" applyFont="1" applyFill="1" applyBorder="1" applyProtection="1"/>
    <xf numFmtId="0" fontId="32" fillId="3" borderId="61" xfId="0" applyFont="1" applyFill="1" applyBorder="1" applyProtection="1"/>
    <xf numFmtId="0" fontId="32" fillId="3" borderId="63" xfId="0" applyFont="1" applyFill="1" applyBorder="1" applyProtection="1"/>
    <xf numFmtId="0" fontId="32" fillId="3" borderId="35" xfId="0" applyFont="1" applyFill="1" applyBorder="1" applyAlignment="1">
      <alignment horizontal="center" vertical="center" wrapText="1"/>
    </xf>
    <xf numFmtId="0" fontId="32" fillId="0" borderId="64" xfId="0" applyFont="1" applyFill="1" applyBorder="1" applyAlignment="1">
      <alignment horizontal="center" vertical="center" wrapText="1"/>
    </xf>
    <xf numFmtId="0" fontId="32" fillId="3" borderId="35" xfId="0" applyFont="1" applyFill="1" applyBorder="1"/>
    <xf numFmtId="0" fontId="29" fillId="3" borderId="27" xfId="0" applyFont="1" applyFill="1" applyBorder="1" applyAlignment="1">
      <alignment horizontal="center" vertical="center"/>
    </xf>
    <xf numFmtId="0" fontId="29" fillId="3" borderId="65" xfId="0" applyFont="1" applyFill="1" applyBorder="1" applyAlignment="1">
      <alignment horizontal="center" vertical="center"/>
    </xf>
    <xf numFmtId="0" fontId="32" fillId="0" borderId="66" xfId="0" applyFont="1" applyBorder="1" applyProtection="1"/>
    <xf numFmtId="0" fontId="32" fillId="4" borderId="67" xfId="0" applyFont="1" applyFill="1" applyBorder="1" applyProtection="1"/>
    <xf numFmtId="0" fontId="32" fillId="3" borderId="68" xfId="0" applyFont="1" applyFill="1" applyBorder="1" applyProtection="1"/>
    <xf numFmtId="0" fontId="32" fillId="7" borderId="69" xfId="0" applyFont="1" applyFill="1" applyBorder="1" applyProtection="1"/>
    <xf numFmtId="0" fontId="32" fillId="3" borderId="67" xfId="0" applyFont="1" applyFill="1" applyBorder="1" applyProtection="1"/>
    <xf numFmtId="0" fontId="32" fillId="3" borderId="69" xfId="0" applyFont="1" applyFill="1" applyBorder="1" applyProtection="1"/>
    <xf numFmtId="0" fontId="32" fillId="0" borderId="44" xfId="0" applyFont="1" applyFill="1" applyBorder="1" applyAlignment="1">
      <alignment horizontal="center" vertical="center" wrapText="1"/>
    </xf>
    <xf numFmtId="0" fontId="28" fillId="0" borderId="70" xfId="0" applyFont="1" applyBorder="1" applyAlignment="1">
      <alignment horizontal="center" vertical="center" wrapText="1"/>
    </xf>
    <xf numFmtId="0" fontId="32" fillId="0" borderId="71" xfId="0" applyFont="1" applyFill="1" applyBorder="1"/>
    <xf numFmtId="0" fontId="32" fillId="0" borderId="16" xfId="0" applyFont="1" applyFill="1" applyBorder="1" applyAlignment="1">
      <alignment horizontal="center" vertical="center" wrapText="1"/>
    </xf>
    <xf numFmtId="0" fontId="32" fillId="3" borderId="31" xfId="0" applyFont="1" applyFill="1" applyBorder="1" applyAlignment="1">
      <alignment horizontal="center" vertical="center" wrapText="1"/>
    </xf>
    <xf numFmtId="0" fontId="32" fillId="0" borderId="72" xfId="0" applyFont="1" applyFill="1" applyBorder="1" applyAlignment="1">
      <alignment horizontal="center" vertical="center" wrapText="1"/>
    </xf>
    <xf numFmtId="0" fontId="29" fillId="3" borderId="22" xfId="0" applyFont="1" applyFill="1" applyBorder="1" applyAlignment="1">
      <alignment horizontal="center" vertical="center"/>
    </xf>
    <xf numFmtId="0" fontId="20" fillId="8" borderId="39" xfId="0" applyFont="1" applyFill="1" applyBorder="1"/>
    <xf numFmtId="0" fontId="35" fillId="0" borderId="39" xfId="0" applyFont="1" applyFill="1" applyBorder="1" applyAlignment="1">
      <alignment horizontal="center" vertical="center" shrinkToFit="1"/>
    </xf>
    <xf numFmtId="0" fontId="37" fillId="3" borderId="39" xfId="0" applyFont="1" applyFill="1" applyBorder="1" applyAlignment="1">
      <alignment horizontal="center" vertical="center" shrinkToFit="1"/>
    </xf>
    <xf numFmtId="0" fontId="32" fillId="3" borderId="19" xfId="0" applyFont="1" applyFill="1" applyBorder="1"/>
    <xf numFmtId="0" fontId="29" fillId="3" borderId="7" xfId="0" applyFont="1" applyFill="1" applyBorder="1" applyAlignment="1">
      <alignment horizontal="center" vertical="center"/>
    </xf>
    <xf numFmtId="0" fontId="29" fillId="3" borderId="73" xfId="0" applyFont="1" applyFill="1" applyBorder="1" applyAlignment="1">
      <alignment horizontal="center" vertical="center"/>
    </xf>
    <xf numFmtId="0" fontId="32" fillId="0" borderId="21" xfId="0" applyFont="1" applyFill="1" applyBorder="1" applyProtection="1"/>
    <xf numFmtId="0" fontId="35" fillId="0" borderId="50" xfId="0" applyFont="1" applyFill="1" applyBorder="1" applyAlignment="1">
      <alignment horizontal="center" vertical="center" shrinkToFit="1"/>
    </xf>
    <xf numFmtId="0" fontId="35" fillId="0" borderId="74" xfId="0" applyFont="1" applyFill="1" applyBorder="1" applyAlignment="1">
      <alignment horizontal="center" vertical="center" shrinkToFit="1"/>
    </xf>
    <xf numFmtId="0" fontId="35" fillId="0" borderId="75" xfId="0" applyFont="1" applyFill="1" applyBorder="1" applyAlignment="1">
      <alignment horizontal="center" vertical="center" shrinkToFit="1"/>
    </xf>
    <xf numFmtId="0" fontId="32" fillId="0" borderId="31" xfId="0" applyFont="1" applyFill="1" applyBorder="1" applyAlignment="1">
      <alignment horizontal="center" vertical="center" wrapText="1"/>
    </xf>
    <xf numFmtId="0" fontId="32" fillId="0" borderId="12" xfId="0" applyFont="1" applyBorder="1" applyProtection="1"/>
    <xf numFmtId="0" fontId="32" fillId="6" borderId="76" xfId="0" applyFont="1" applyFill="1" applyBorder="1" applyProtection="1"/>
    <xf numFmtId="0" fontId="32" fillId="3" borderId="77" xfId="0" applyFont="1" applyFill="1" applyBorder="1" applyProtection="1"/>
    <xf numFmtId="0" fontId="32" fillId="8" borderId="78" xfId="0" applyFont="1" applyFill="1" applyBorder="1" applyProtection="1"/>
    <xf numFmtId="0" fontId="32" fillId="9" borderId="76" xfId="0" applyFont="1" applyFill="1" applyBorder="1" applyProtection="1"/>
    <xf numFmtId="0" fontId="32" fillId="3" borderId="78" xfId="0" applyFont="1" applyFill="1" applyBorder="1" applyProtection="1"/>
    <xf numFmtId="0" fontId="32" fillId="3" borderId="7" xfId="0" applyFont="1" applyFill="1" applyBorder="1" applyAlignment="1">
      <alignment horizontal="center" vertical="center" wrapText="1"/>
    </xf>
    <xf numFmtId="0" fontId="32" fillId="3" borderId="21" xfId="0" applyFont="1" applyFill="1" applyBorder="1" applyAlignment="1">
      <alignment horizontal="center" vertical="center" wrapText="1"/>
    </xf>
    <xf numFmtId="0" fontId="32" fillId="3" borderId="21" xfId="0" applyFont="1" applyFill="1" applyBorder="1"/>
    <xf numFmtId="0" fontId="30" fillId="3" borderId="21" xfId="0" applyFont="1" applyFill="1" applyBorder="1" applyAlignment="1">
      <alignment horizontal="center" vertical="center"/>
    </xf>
    <xf numFmtId="0" fontId="30" fillId="3" borderId="25" xfId="0" applyFont="1" applyFill="1" applyBorder="1" applyAlignment="1">
      <alignment horizontal="center" vertical="center"/>
    </xf>
    <xf numFmtId="0" fontId="32" fillId="3" borderId="0" xfId="0" applyFont="1" applyFill="1" applyBorder="1" applyProtection="1"/>
    <xf numFmtId="0" fontId="32" fillId="3" borderId="24" xfId="0" applyFont="1" applyFill="1" applyBorder="1" applyAlignment="1">
      <alignment horizontal="center" vertical="center" wrapText="1"/>
    </xf>
    <xf numFmtId="0" fontId="32" fillId="3" borderId="24" xfId="0" applyFont="1" applyFill="1" applyBorder="1"/>
    <xf numFmtId="0" fontId="30" fillId="3" borderId="24" xfId="0" applyFont="1" applyFill="1" applyBorder="1" applyAlignment="1">
      <alignment horizontal="center" vertical="center"/>
    </xf>
    <xf numFmtId="0" fontId="30" fillId="3" borderId="26" xfId="0" applyFont="1" applyFill="1" applyBorder="1" applyAlignment="1">
      <alignment horizontal="center" vertical="center"/>
    </xf>
    <xf numFmtId="0" fontId="20" fillId="2" borderId="34" xfId="0" applyFont="1" applyFill="1" applyBorder="1" applyAlignment="1"/>
    <xf numFmtId="0" fontId="35" fillId="10" borderId="39" xfId="0" applyFont="1" applyFill="1" applyBorder="1" applyAlignment="1">
      <alignment horizontal="center" vertical="center" wrapText="1"/>
    </xf>
    <xf numFmtId="0" fontId="35" fillId="10" borderId="79" xfId="0" applyFont="1" applyFill="1" applyBorder="1" applyAlignment="1">
      <alignment horizontal="center" vertical="center" wrapText="1"/>
    </xf>
    <xf numFmtId="0" fontId="32" fillId="3" borderId="19" xfId="0" applyFont="1" applyFill="1" applyBorder="1" applyAlignment="1">
      <alignment horizontal="center" vertical="center"/>
    </xf>
    <xf numFmtId="0" fontId="32" fillId="0" borderId="21" xfId="0" applyFont="1" applyBorder="1" applyProtection="1"/>
    <xf numFmtId="0" fontId="32" fillId="0" borderId="0" xfId="0" applyFont="1" applyFill="1" applyBorder="1" applyProtection="1"/>
    <xf numFmtId="0" fontId="32" fillId="0" borderId="52" xfId="0" applyFont="1" applyFill="1" applyBorder="1" applyAlignment="1">
      <alignment horizontal="center" vertical="center"/>
    </xf>
    <xf numFmtId="0" fontId="32" fillId="0" borderId="17" xfId="0" applyFont="1" applyFill="1" applyBorder="1" applyAlignment="1">
      <alignment horizontal="center" vertical="center"/>
    </xf>
    <xf numFmtId="0" fontId="32" fillId="3" borderId="54" xfId="0" applyFont="1" applyFill="1" applyBorder="1" applyAlignment="1">
      <alignment horizontal="center" vertical="center"/>
    </xf>
    <xf numFmtId="0" fontId="20" fillId="0" borderId="22" xfId="0" applyFont="1" applyBorder="1"/>
    <xf numFmtId="0" fontId="28" fillId="0" borderId="16" xfId="0" applyFont="1" applyBorder="1" applyAlignment="1" applyProtection="1">
      <alignment horizontal="left" vertical="center" shrinkToFit="1"/>
    </xf>
    <xf numFmtId="0" fontId="32" fillId="0" borderId="0" xfId="0" applyFont="1" applyAlignment="1" applyProtection="1">
      <alignment horizontal="right"/>
    </xf>
    <xf numFmtId="0" fontId="20" fillId="0" borderId="16" xfId="0" applyFont="1" applyBorder="1" applyAlignment="1" applyProtection="1">
      <alignment shrinkToFit="1"/>
    </xf>
    <xf numFmtId="0" fontId="20" fillId="0" borderId="0" xfId="0" applyFont="1" applyAlignment="1" applyProtection="1">
      <alignment horizontal="right"/>
    </xf>
    <xf numFmtId="0" fontId="20" fillId="0" borderId="16" xfId="0" applyFont="1" applyBorder="1" applyProtection="1">
      <protection locked="0"/>
    </xf>
    <xf numFmtId="0" fontId="20" fillId="0" borderId="80" xfId="0" applyFont="1" applyBorder="1"/>
    <xf numFmtId="0" fontId="20" fillId="0" borderId="32" xfId="0" applyFont="1" applyBorder="1"/>
    <xf numFmtId="0" fontId="20" fillId="0" borderId="32" xfId="0" applyFont="1" applyBorder="1" applyAlignment="1" applyProtection="1">
      <alignment wrapText="1"/>
      <protection hidden="1"/>
    </xf>
    <xf numFmtId="0" fontId="20" fillId="0" borderId="28" xfId="0" applyFont="1" applyBorder="1"/>
    <xf numFmtId="0" fontId="20" fillId="0" borderId="33" xfId="0" applyFont="1" applyBorder="1" applyAlignment="1">
      <alignment horizontal="right"/>
    </xf>
    <xf numFmtId="177" fontId="38" fillId="0" borderId="81" xfId="0" applyNumberFormat="1" applyFont="1" applyBorder="1" applyAlignment="1" applyProtection="1">
      <alignment horizontal="right" vertical="center" shrinkToFit="1"/>
    </xf>
    <xf numFmtId="0" fontId="20" fillId="0" borderId="0" xfId="0" applyFont="1" applyFill="1"/>
    <xf numFmtId="0" fontId="28" fillId="0" borderId="16" xfId="0" applyFont="1" applyBorder="1" applyAlignment="1">
      <alignment shrinkToFit="1"/>
    </xf>
    <xf numFmtId="0" fontId="20" fillId="0" borderId="32" xfId="0" applyFont="1" applyBorder="1" applyAlignment="1">
      <alignment horizontal="right"/>
    </xf>
    <xf numFmtId="0" fontId="20" fillId="0" borderId="32" xfId="0" applyFont="1" applyBorder="1" applyAlignment="1" applyProtection="1">
      <alignment horizontal="right"/>
      <protection locked="0"/>
    </xf>
    <xf numFmtId="0" fontId="20" fillId="0" borderId="82" xfId="0" applyFont="1" applyBorder="1"/>
    <xf numFmtId="0" fontId="20" fillId="0" borderId="82" xfId="0" applyFont="1" applyBorder="1" applyAlignment="1">
      <alignment vertical="center"/>
    </xf>
    <xf numFmtId="0" fontId="20" fillId="0" borderId="83" xfId="0" applyFont="1" applyBorder="1" applyProtection="1"/>
    <xf numFmtId="0" fontId="20" fillId="0" borderId="84" xfId="0" applyFont="1" applyBorder="1" applyProtection="1"/>
    <xf numFmtId="0" fontId="20" fillId="0" borderId="84" xfId="0" applyFont="1" applyBorder="1" applyAlignment="1" applyProtection="1">
      <alignment horizontal="justify" vertical="center" wrapText="1"/>
    </xf>
    <xf numFmtId="0" fontId="20" fillId="0" borderId="85" xfId="0" applyFont="1" applyBorder="1" applyAlignment="1" applyProtection="1">
      <alignment vertical="center"/>
    </xf>
    <xf numFmtId="0" fontId="20" fillId="0" borderId="0" xfId="0" applyFont="1" applyBorder="1" applyAlignment="1" applyProtection="1">
      <alignment vertical="center"/>
    </xf>
    <xf numFmtId="0" fontId="20" fillId="0" borderId="86" xfId="0" applyFont="1" applyBorder="1" applyProtection="1"/>
    <xf numFmtId="0" fontId="20" fillId="0" borderId="0" xfId="0" applyFont="1" applyBorder="1" applyProtection="1"/>
    <xf numFmtId="0" fontId="20" fillId="0" borderId="0" xfId="0" applyFont="1" applyBorder="1" applyAlignment="1" applyProtection="1">
      <alignment horizontal="justify" vertical="center" wrapText="1"/>
    </xf>
    <xf numFmtId="0" fontId="20" fillId="0" borderId="0" xfId="0" applyFont="1" applyBorder="1" applyAlignment="1" applyProtection="1">
      <alignment horizontal="center" vertical="center" wrapText="1"/>
    </xf>
    <xf numFmtId="0" fontId="20" fillId="0" borderId="87" xfId="0" applyFont="1" applyBorder="1" applyAlignment="1" applyProtection="1">
      <alignment vertical="center"/>
    </xf>
    <xf numFmtId="0" fontId="20" fillId="0" borderId="0" xfId="0" applyFont="1" applyBorder="1" applyAlignment="1" applyProtection="1">
      <alignment horizontal="left" vertical="center" wrapText="1"/>
    </xf>
    <xf numFmtId="0" fontId="20" fillId="0" borderId="88" xfId="0" applyFont="1" applyBorder="1" applyAlignment="1" applyProtection="1">
      <alignment horizontal="left" vertical="center" wrapText="1"/>
    </xf>
    <xf numFmtId="0" fontId="20" fillId="0" borderId="89" xfId="0" applyFont="1" applyBorder="1" applyAlignment="1" applyProtection="1">
      <alignment horizontal="center" vertical="center" wrapText="1"/>
    </xf>
    <xf numFmtId="176" fontId="39" fillId="0" borderId="90" xfId="0" applyNumberFormat="1" applyFont="1" applyBorder="1" applyAlignment="1" applyProtection="1">
      <alignment horizontal="center" vertical="center" wrapText="1"/>
      <protection hidden="1"/>
    </xf>
    <xf numFmtId="0" fontId="20" fillId="0" borderId="91" xfId="0" applyFont="1" applyBorder="1" applyAlignment="1" applyProtection="1">
      <alignment horizontal="justify" vertical="center" wrapText="1"/>
    </xf>
    <xf numFmtId="176" fontId="40" fillId="0" borderId="92" xfId="0" applyNumberFormat="1" applyFont="1" applyBorder="1" applyAlignment="1" applyProtection="1">
      <alignment horizontal="center" vertical="center" wrapText="1" shrinkToFit="1"/>
      <protection locked="0"/>
    </xf>
    <xf numFmtId="176" fontId="39" fillId="0" borderId="93" xfId="0" applyNumberFormat="1" applyFont="1" applyFill="1" applyBorder="1" applyAlignment="1" applyProtection="1">
      <alignment horizontal="center" vertical="center" wrapText="1"/>
      <protection hidden="1"/>
    </xf>
    <xf numFmtId="0" fontId="20" fillId="0" borderId="94" xfId="0" applyFont="1" applyBorder="1" applyProtection="1"/>
    <xf numFmtId="0" fontId="20" fillId="0" borderId="95" xfId="0" applyFont="1" applyBorder="1" applyProtection="1"/>
    <xf numFmtId="0" fontId="20" fillId="0" borderId="96" xfId="0" applyFont="1" applyBorder="1" applyProtection="1"/>
    <xf numFmtId="0" fontId="20" fillId="0" borderId="0" xfId="0" applyFont="1" applyBorder="1"/>
    <xf numFmtId="0" fontId="20" fillId="0" borderId="0" xfId="0" applyFont="1" applyBorder="1" applyAlignment="1">
      <alignment horizontal="left" vertical="top" wrapText="1"/>
    </xf>
    <xf numFmtId="0" fontId="20" fillId="0" borderId="0" xfId="0" quotePrefix="1" applyFont="1" applyAlignment="1">
      <alignment horizontal="left"/>
    </xf>
    <xf numFmtId="0" fontId="24" fillId="0" borderId="0" xfId="0" applyFont="1" applyAlignment="1">
      <alignment horizontal="left"/>
    </xf>
    <xf numFmtId="0" fontId="20" fillId="0" borderId="0" xfId="0" applyFont="1" applyBorder="1" applyAlignment="1">
      <alignment horizontal="left" vertical="center"/>
    </xf>
    <xf numFmtId="0" fontId="20" fillId="0" borderId="31" xfId="0" applyFont="1" applyBorder="1" applyAlignment="1">
      <alignment horizontal="left" vertical="center"/>
    </xf>
    <xf numFmtId="0" fontId="20" fillId="0" borderId="0" xfId="0" applyFont="1" applyBorder="1" applyAlignment="1">
      <alignment horizontal="left" vertical="center"/>
    </xf>
    <xf numFmtId="0" fontId="20" fillId="0" borderId="0" xfId="0" applyFont="1" applyBorder="1" applyAlignment="1">
      <alignment vertical="center" wrapText="1"/>
    </xf>
    <xf numFmtId="0" fontId="20" fillId="0" borderId="31" xfId="0" applyFont="1" applyBorder="1" applyAlignment="1">
      <alignment horizontal="left" vertical="center" wrapText="1" shrinkToFit="1"/>
    </xf>
    <xf numFmtId="0" fontId="20" fillId="0" borderId="0" xfId="0" applyFont="1" applyAlignment="1">
      <alignment horizontal="justify" vertical="top" wrapText="1"/>
    </xf>
    <xf numFmtId="0" fontId="3" fillId="0" borderId="0" xfId="1" applyAlignment="1" applyProtection="1"/>
    <xf numFmtId="0" fontId="28" fillId="0" borderId="0" xfId="0" applyFont="1" applyBorder="1"/>
    <xf numFmtId="0" fontId="28" fillId="0" borderId="0" xfId="0" applyFont="1" applyBorder="1" applyAlignment="1">
      <alignment horizontal="left"/>
    </xf>
    <xf numFmtId="0" fontId="28" fillId="0" borderId="0" xfId="0" applyFont="1" applyBorder="1" applyAlignment="1">
      <alignment horizontal="left" vertical="top" wrapText="1"/>
    </xf>
    <xf numFmtId="0" fontId="20" fillId="0" borderId="0" xfId="0" applyFont="1" applyBorder="1" applyAlignment="1">
      <alignment horizontal="justify" vertical="top" wrapText="1"/>
    </xf>
    <xf numFmtId="0" fontId="20" fillId="0" borderId="32" xfId="0" applyFont="1" applyBorder="1" applyAlignment="1">
      <alignment horizontal="justify" vertical="top" wrapText="1"/>
    </xf>
    <xf numFmtId="0" fontId="20" fillId="0" borderId="36" xfId="0" applyFont="1" applyBorder="1" applyAlignment="1">
      <alignment horizontal="center" vertical="center"/>
    </xf>
    <xf numFmtId="0" fontId="20" fillId="0" borderId="37" xfId="0" applyFont="1" applyBorder="1" applyAlignment="1">
      <alignment horizontal="center" vertical="center"/>
    </xf>
    <xf numFmtId="0" fontId="20" fillId="0" borderId="40" xfId="0" applyFont="1" applyBorder="1" applyAlignment="1">
      <alignment horizontal="center" vertical="center"/>
    </xf>
    <xf numFmtId="0" fontId="20" fillId="0" borderId="31" xfId="0" applyFont="1" applyBorder="1" applyAlignment="1">
      <alignment horizontal="left" vertical="center" wrapText="1"/>
    </xf>
    <xf numFmtId="0" fontId="21" fillId="0" borderId="42" xfId="0" applyFont="1" applyBorder="1" applyAlignment="1">
      <alignment horizontal="left" vertical="center"/>
    </xf>
    <xf numFmtId="0" fontId="20" fillId="0" borderId="24" xfId="0" applyFont="1" applyBorder="1" applyAlignment="1">
      <alignment horizontal="left" vertical="top" wrapText="1"/>
    </xf>
    <xf numFmtId="0" fontId="20" fillId="0" borderId="0" xfId="0" applyFont="1" applyAlignment="1"/>
    <xf numFmtId="0" fontId="13" fillId="0" borderId="0" xfId="0" applyFont="1"/>
    <xf numFmtId="0" fontId="20" fillId="2" borderId="46" xfId="0" applyFont="1" applyFill="1" applyBorder="1" applyProtection="1">
      <protection locked="0"/>
    </xf>
    <xf numFmtId="0" fontId="20" fillId="2" borderId="97" xfId="0" applyFont="1" applyFill="1" applyBorder="1" applyProtection="1">
      <protection locked="0"/>
    </xf>
    <xf numFmtId="0" fontId="20" fillId="2" borderId="98" xfId="0" applyFont="1" applyFill="1" applyBorder="1" applyProtection="1">
      <protection locked="0"/>
    </xf>
    <xf numFmtId="0" fontId="20" fillId="2" borderId="66" xfId="0" applyFont="1" applyFill="1" applyBorder="1" applyProtection="1">
      <protection locked="0"/>
    </xf>
    <xf numFmtId="0" fontId="20" fillId="0" borderId="0" xfId="0" applyFont="1" applyFill="1" applyProtection="1"/>
    <xf numFmtId="0" fontId="20" fillId="2" borderId="12" xfId="0" applyFont="1" applyFill="1" applyBorder="1" applyProtection="1">
      <protection locked="0"/>
    </xf>
    <xf numFmtId="0" fontId="20" fillId="0" borderId="24" xfId="0" applyFont="1" applyFill="1" applyBorder="1" applyProtection="1"/>
    <xf numFmtId="0" fontId="20" fillId="0" borderId="7" xfId="0" applyFont="1" applyFill="1" applyBorder="1" applyProtection="1"/>
    <xf numFmtId="0" fontId="20" fillId="8" borderId="35" xfId="0" applyFont="1" applyFill="1" applyBorder="1" applyProtection="1">
      <protection locked="0"/>
    </xf>
    <xf numFmtId="0" fontId="20" fillId="9" borderId="12" xfId="0" applyFont="1" applyFill="1" applyBorder="1" applyProtection="1"/>
    <xf numFmtId="0" fontId="20" fillId="8" borderId="46" xfId="0" applyFont="1" applyFill="1" applyBorder="1" applyProtection="1">
      <protection locked="0"/>
    </xf>
    <xf numFmtId="0" fontId="20" fillId="0" borderId="0" xfId="0" applyFont="1" applyFill="1" applyBorder="1" applyProtection="1">
      <protection locked="0"/>
    </xf>
    <xf numFmtId="0" fontId="20" fillId="8" borderId="12" xfId="0" applyFont="1" applyFill="1" applyBorder="1" applyProtection="1">
      <protection locked="0"/>
    </xf>
    <xf numFmtId="0" fontId="32" fillId="0" borderId="45" xfId="0" applyFont="1" applyFill="1" applyBorder="1" applyAlignment="1">
      <alignment horizontal="center" vertical="center" wrapText="1"/>
    </xf>
    <xf numFmtId="0" fontId="20" fillId="0" borderId="0" xfId="0" applyFont="1" applyAlignment="1">
      <alignment horizontal="right" vertical="center"/>
    </xf>
    <xf numFmtId="0" fontId="32" fillId="4" borderId="99" xfId="0" applyFont="1" applyFill="1" applyBorder="1" applyProtection="1"/>
    <xf numFmtId="0" fontId="32" fillId="6" borderId="100" xfId="0" applyFont="1" applyFill="1" applyBorder="1" applyProtection="1"/>
    <xf numFmtId="0" fontId="32" fillId="5" borderId="101" xfId="0" applyFont="1" applyFill="1" applyBorder="1" applyProtection="1"/>
    <xf numFmtId="0" fontId="32" fillId="5" borderId="99" xfId="0" applyFont="1" applyFill="1" applyBorder="1" applyProtection="1"/>
    <xf numFmtId="0" fontId="32" fillId="5" borderId="100" xfId="0" applyFont="1" applyFill="1" applyBorder="1" applyProtection="1"/>
    <xf numFmtId="0" fontId="32" fillId="11" borderId="0" xfId="0" applyFont="1" applyFill="1" applyProtection="1"/>
    <xf numFmtId="0" fontId="32" fillId="11" borderId="21" xfId="0" applyFont="1" applyFill="1" applyBorder="1" applyProtection="1"/>
    <xf numFmtId="0" fontId="32" fillId="11" borderId="0" xfId="0" applyFont="1" applyFill="1" applyAlignment="1" applyProtection="1">
      <alignment horizontal="right"/>
    </xf>
    <xf numFmtId="0" fontId="28" fillId="0" borderId="70" xfId="0" applyFont="1" applyFill="1" applyBorder="1" applyAlignment="1">
      <alignment horizontal="center" vertical="center" wrapText="1"/>
    </xf>
    <xf numFmtId="0" fontId="32" fillId="0" borderId="102" xfId="0" applyFont="1" applyFill="1" applyBorder="1"/>
    <xf numFmtId="0" fontId="29" fillId="0" borderId="32" xfId="0" applyFont="1" applyFill="1" applyBorder="1" applyAlignment="1">
      <alignment horizontal="center" vertical="center"/>
    </xf>
    <xf numFmtId="0" fontId="28" fillId="0" borderId="0" xfId="0" applyFont="1" applyFill="1" applyAlignment="1">
      <alignment horizontal="left" vertical="top"/>
    </xf>
    <xf numFmtId="0" fontId="20" fillId="0" borderId="0" xfId="0" applyFont="1" applyBorder="1" applyAlignment="1">
      <alignment horizontal="left" wrapText="1"/>
    </xf>
    <xf numFmtId="0" fontId="32" fillId="12" borderId="49" xfId="0" applyFont="1" applyFill="1" applyBorder="1" applyProtection="1"/>
    <xf numFmtId="0" fontId="32" fillId="12" borderId="47" xfId="0" applyFont="1" applyFill="1" applyBorder="1" applyProtection="1"/>
    <xf numFmtId="0" fontId="32" fillId="0" borderId="43" xfId="0" applyFont="1" applyBorder="1" applyProtection="1"/>
    <xf numFmtId="0" fontId="20" fillId="0" borderId="0" xfId="0" applyFont="1" applyFill="1" applyBorder="1" applyAlignment="1">
      <alignment horizontal="left" vertical="center"/>
    </xf>
    <xf numFmtId="0" fontId="20" fillId="0" borderId="0" xfId="0" applyFont="1" applyFill="1" applyBorder="1" applyAlignment="1">
      <alignment vertical="center"/>
    </xf>
    <xf numFmtId="0" fontId="20" fillId="0" borderId="0" xfId="0" applyFont="1" applyFill="1" applyBorder="1" applyAlignment="1">
      <alignment horizontal="left" vertical="top" wrapText="1"/>
    </xf>
    <xf numFmtId="0" fontId="20" fillId="0" borderId="0" xfId="0" applyFont="1" applyFill="1" applyBorder="1" applyAlignment="1">
      <alignment horizontal="left" vertical="top"/>
    </xf>
    <xf numFmtId="0" fontId="28" fillId="0" borderId="0" xfId="0" applyFont="1" applyFill="1" applyBorder="1" applyAlignment="1">
      <alignment vertical="center" wrapText="1"/>
    </xf>
    <xf numFmtId="0" fontId="19" fillId="0" borderId="0" xfId="0" applyFont="1" applyFill="1" applyBorder="1" applyAlignment="1">
      <alignment horizontal="left"/>
    </xf>
    <xf numFmtId="0" fontId="19" fillId="0" borderId="0" xfId="0" applyFont="1" applyFill="1" applyBorder="1" applyAlignment="1"/>
    <xf numFmtId="0" fontId="28" fillId="0" borderId="0" xfId="0" applyFont="1" applyFill="1" applyBorder="1" applyAlignment="1">
      <alignment horizontal="center" vertical="center" wrapText="1"/>
    </xf>
    <xf numFmtId="0" fontId="30" fillId="0" borderId="0" xfId="0" applyFont="1" applyFill="1"/>
    <xf numFmtId="0" fontId="20" fillId="0" borderId="0" xfId="0" quotePrefix="1" applyFont="1" applyBorder="1" applyAlignment="1">
      <alignment horizontal="left"/>
    </xf>
    <xf numFmtId="0" fontId="28" fillId="0" borderId="103" xfId="0" applyFont="1" applyBorder="1" applyAlignment="1">
      <alignment horizontal="center" vertical="center" shrinkToFit="1"/>
    </xf>
    <xf numFmtId="0" fontId="28" fillId="0" borderId="104" xfId="0" applyFont="1" applyBorder="1" applyAlignment="1">
      <alignment horizontal="center" vertical="center" wrapText="1"/>
    </xf>
    <xf numFmtId="0" fontId="14" fillId="0" borderId="0" xfId="0" applyFont="1"/>
    <xf numFmtId="0" fontId="15" fillId="0" borderId="0" xfId="0" applyFont="1"/>
    <xf numFmtId="0" fontId="16" fillId="0" borderId="0" xfId="0" applyFont="1" applyAlignment="1">
      <alignment horizontal="center"/>
    </xf>
    <xf numFmtId="0" fontId="16" fillId="0" borderId="0" xfId="0" applyFont="1"/>
    <xf numFmtId="14" fontId="15" fillId="0" borderId="0" xfId="0" applyNumberFormat="1" applyFont="1" applyAlignment="1">
      <alignment horizontal="center"/>
    </xf>
    <xf numFmtId="14" fontId="15" fillId="0" borderId="0" xfId="0" applyNumberFormat="1" applyFont="1"/>
    <xf numFmtId="0" fontId="28" fillId="0" borderId="105" xfId="0" applyFont="1" applyBorder="1" applyAlignment="1">
      <alignment horizontal="center" vertical="center" shrinkToFit="1"/>
    </xf>
    <xf numFmtId="0" fontId="28" fillId="13" borderId="4" xfId="0" applyFont="1" applyFill="1" applyBorder="1" applyAlignment="1">
      <alignment horizontal="center" vertical="center" shrinkToFit="1"/>
    </xf>
    <xf numFmtId="0" fontId="28" fillId="13" borderId="3" xfId="0" applyFont="1" applyFill="1" applyBorder="1" applyAlignment="1">
      <alignment horizontal="center" vertical="center" shrinkToFit="1"/>
    </xf>
    <xf numFmtId="0" fontId="28" fillId="13" borderId="105" xfId="0" applyFont="1" applyFill="1" applyBorder="1" applyAlignment="1">
      <alignment horizontal="center" vertical="center" shrinkToFit="1"/>
    </xf>
    <xf numFmtId="0" fontId="28" fillId="13" borderId="3" xfId="0" quotePrefix="1" applyFont="1" applyFill="1" applyBorder="1" applyAlignment="1">
      <alignment horizontal="center" vertical="center" shrinkToFit="1"/>
    </xf>
    <xf numFmtId="0" fontId="28" fillId="0" borderId="106" xfId="0" applyFont="1" applyBorder="1" applyAlignment="1">
      <alignment horizontal="center" vertical="center" shrinkToFit="1"/>
    </xf>
    <xf numFmtId="0" fontId="28" fillId="0" borderId="107" xfId="0" applyFont="1" applyBorder="1" applyAlignment="1">
      <alignment horizontal="center" vertical="center" shrinkToFit="1"/>
    </xf>
    <xf numFmtId="0" fontId="28" fillId="0" borderId="108" xfId="0" applyFont="1" applyBorder="1" applyAlignment="1">
      <alignment horizontal="center" vertical="center" shrinkToFit="1"/>
    </xf>
    <xf numFmtId="0" fontId="28" fillId="13" borderId="109" xfId="0" applyFont="1" applyFill="1" applyBorder="1" applyAlignment="1">
      <alignment horizontal="center" vertical="center" shrinkToFit="1"/>
    </xf>
    <xf numFmtId="0" fontId="28" fillId="0" borderId="110" xfId="0" applyFont="1" applyBorder="1" applyAlignment="1">
      <alignment horizontal="center" vertical="center" shrinkToFit="1"/>
    </xf>
    <xf numFmtId="49" fontId="28" fillId="0" borderId="107" xfId="0" quotePrefix="1" applyNumberFormat="1" applyFont="1" applyBorder="1" applyAlignment="1">
      <alignment horizontal="center" vertical="center" shrinkToFit="1"/>
    </xf>
    <xf numFmtId="0" fontId="28" fillId="13" borderId="107" xfId="0" applyFont="1" applyFill="1" applyBorder="1" applyAlignment="1">
      <alignment horizontal="center" vertical="center" shrinkToFit="1"/>
    </xf>
    <xf numFmtId="0" fontId="28" fillId="0" borderId="107" xfId="0" quotePrefix="1" applyFont="1" applyBorder="1" applyAlignment="1">
      <alignment horizontal="center" vertical="center" shrinkToFit="1"/>
    </xf>
    <xf numFmtId="0" fontId="28" fillId="13" borderId="110" xfId="0" applyFont="1" applyFill="1" applyBorder="1" applyAlignment="1">
      <alignment horizontal="center" vertical="center" shrinkToFit="1"/>
    </xf>
    <xf numFmtId="0" fontId="28" fillId="0" borderId="109" xfId="0" quotePrefix="1" applyFont="1" applyBorder="1" applyAlignment="1">
      <alignment horizontal="center" vertical="center" shrinkToFit="1"/>
    </xf>
    <xf numFmtId="0" fontId="28" fillId="13" borderId="107" xfId="0" quotePrefix="1" applyFont="1" applyFill="1" applyBorder="1" applyAlignment="1">
      <alignment horizontal="center" vertical="center" shrinkToFit="1"/>
    </xf>
    <xf numFmtId="0" fontId="28" fillId="0" borderId="111" xfId="0" applyFont="1" applyBorder="1" applyAlignment="1">
      <alignment horizontal="center" vertical="center" shrinkToFit="1"/>
    </xf>
    <xf numFmtId="0" fontId="20" fillId="0" borderId="0" xfId="0" applyFont="1" applyBorder="1" applyAlignment="1" applyProtection="1">
      <alignment horizontal="right" wrapText="1"/>
    </xf>
    <xf numFmtId="0" fontId="20" fillId="0" borderId="0" xfId="0" applyFont="1" applyBorder="1" applyAlignment="1" applyProtection="1">
      <alignment horizontal="right" shrinkToFit="1"/>
    </xf>
    <xf numFmtId="0" fontId="20" fillId="0" borderId="0" xfId="0" applyFont="1" applyBorder="1" applyAlignment="1" applyProtection="1">
      <alignment horizontal="right" vertical="center" wrapText="1"/>
    </xf>
    <xf numFmtId="0" fontId="20" fillId="0" borderId="0" xfId="0" applyFont="1" applyBorder="1" applyAlignment="1" applyProtection="1">
      <alignment horizontal="right" vertical="center"/>
    </xf>
    <xf numFmtId="0" fontId="20" fillId="0" borderId="0" xfId="0" applyFont="1" applyBorder="1" applyAlignment="1">
      <alignment horizontal="right" vertical="center" wrapText="1"/>
    </xf>
    <xf numFmtId="0" fontId="20" fillId="0" borderId="36" xfId="0" applyFont="1" applyBorder="1" applyAlignment="1">
      <alignment horizontal="center" vertical="center"/>
    </xf>
    <xf numFmtId="0" fontId="20" fillId="0" borderId="37" xfId="0" applyFont="1" applyBorder="1" applyAlignment="1">
      <alignment horizontal="center" vertical="center"/>
    </xf>
    <xf numFmtId="0" fontId="20" fillId="0" borderId="40" xfId="0" applyFont="1" applyBorder="1" applyAlignment="1">
      <alignment horizontal="center" vertical="center"/>
    </xf>
    <xf numFmtId="0" fontId="21" fillId="0" borderId="35" xfId="0" applyFont="1" applyBorder="1" applyAlignment="1">
      <alignment vertical="center"/>
    </xf>
    <xf numFmtId="0" fontId="21" fillId="0" borderId="42" xfId="0" applyFont="1" applyBorder="1" applyAlignment="1">
      <alignment vertical="center"/>
    </xf>
    <xf numFmtId="0" fontId="21" fillId="0" borderId="56" xfId="0" applyFont="1" applyBorder="1" applyAlignment="1">
      <alignment vertical="center"/>
    </xf>
    <xf numFmtId="0" fontId="20" fillId="0" borderId="27" xfId="0" applyFont="1" applyBorder="1" applyAlignment="1">
      <alignment horizontal="left" vertical="center" shrinkToFit="1"/>
    </xf>
    <xf numFmtId="0" fontId="20" fillId="0" borderId="24" xfId="0" applyFont="1" applyBorder="1" applyAlignment="1">
      <alignment horizontal="left" vertical="center" shrinkToFit="1"/>
    </xf>
    <xf numFmtId="0" fontId="20" fillId="0" borderId="0" xfId="0" quotePrefix="1" applyFont="1" applyBorder="1" applyAlignment="1">
      <alignment horizontal="left" vertical="center" shrinkToFit="1"/>
    </xf>
    <xf numFmtId="0" fontId="20" fillId="0" borderId="0" xfId="0" applyFont="1" applyBorder="1" applyAlignment="1">
      <alignment horizontal="left" vertical="center" shrinkToFit="1"/>
    </xf>
    <xf numFmtId="0" fontId="20" fillId="0" borderId="7" xfId="0" applyFont="1" applyBorder="1" applyAlignment="1">
      <alignment horizontal="left" vertical="center" shrinkToFit="1"/>
    </xf>
    <xf numFmtId="0" fontId="20" fillId="0" borderId="112" xfId="0" applyFont="1" applyBorder="1" applyAlignment="1">
      <alignment horizontal="center" vertical="center"/>
    </xf>
    <xf numFmtId="0" fontId="21" fillId="0" borderId="12" xfId="0" applyFont="1" applyBorder="1" applyAlignment="1"/>
    <xf numFmtId="0" fontId="21" fillId="0" borderId="13" xfId="0" applyFont="1" applyBorder="1" applyAlignment="1"/>
    <xf numFmtId="0" fontId="20" fillId="0" borderId="35" xfId="0" applyFont="1" applyBorder="1" applyAlignment="1">
      <alignment horizontal="left"/>
    </xf>
    <xf numFmtId="0" fontId="20" fillId="0" borderId="27" xfId="0" applyFont="1" applyBorder="1" applyAlignment="1">
      <alignment horizontal="left"/>
    </xf>
    <xf numFmtId="0" fontId="20" fillId="0" borderId="102" xfId="0" applyFont="1" applyBorder="1" applyAlignment="1">
      <alignment horizontal="left"/>
    </xf>
    <xf numFmtId="0" fontId="20" fillId="0" borderId="9" xfId="0" applyFont="1" applyBorder="1" applyAlignment="1">
      <alignment horizontal="left"/>
    </xf>
    <xf numFmtId="0" fontId="20" fillId="0" borderId="35" xfId="0" applyFont="1" applyBorder="1" applyAlignment="1">
      <alignment vertical="center"/>
    </xf>
    <xf numFmtId="0" fontId="20" fillId="0" borderId="42" xfId="0" applyFont="1" applyBorder="1" applyAlignment="1">
      <alignment vertical="center"/>
    </xf>
    <xf numFmtId="0" fontId="20" fillId="0" borderId="56" xfId="0" applyFont="1" applyBorder="1" applyAlignment="1">
      <alignment vertical="center"/>
    </xf>
    <xf numFmtId="0" fontId="20" fillId="0" borderId="31" xfId="0" applyFont="1" applyBorder="1" applyAlignment="1">
      <alignment horizontal="left" vertical="center" wrapText="1"/>
    </xf>
    <xf numFmtId="0" fontId="20" fillId="0" borderId="0" xfId="0" applyFont="1" applyBorder="1" applyAlignment="1">
      <alignment horizontal="left" vertical="center" wrapText="1"/>
    </xf>
    <xf numFmtId="0" fontId="20" fillId="0" borderId="27" xfId="0" applyFont="1" applyBorder="1" applyAlignment="1">
      <alignment horizontal="left" wrapText="1"/>
    </xf>
    <xf numFmtId="0" fontId="20" fillId="0" borderId="24" xfId="0" applyFont="1" applyBorder="1" applyAlignment="1">
      <alignment horizontal="left" wrapText="1"/>
    </xf>
    <xf numFmtId="0" fontId="20" fillId="0" borderId="26" xfId="0" applyFont="1" applyBorder="1" applyAlignment="1">
      <alignment horizontal="left" wrapText="1"/>
    </xf>
    <xf numFmtId="0" fontId="20" fillId="0" borderId="27" xfId="0" applyFont="1" applyBorder="1" applyAlignment="1">
      <alignment horizontal="left" vertical="center" wrapText="1"/>
    </xf>
    <xf numFmtId="0" fontId="20" fillId="0" borderId="24" xfId="0" applyFont="1" applyBorder="1" applyAlignment="1">
      <alignment horizontal="left" vertical="center" wrapText="1"/>
    </xf>
    <xf numFmtId="0" fontId="30" fillId="0" borderId="0" xfId="0" applyFont="1" applyBorder="1" applyAlignment="1">
      <alignment vertical="center" wrapText="1"/>
    </xf>
    <xf numFmtId="0" fontId="20" fillId="0" borderId="0" xfId="0" quotePrefix="1" applyFont="1" applyBorder="1" applyAlignment="1">
      <alignment vertical="center" wrapText="1"/>
    </xf>
    <xf numFmtId="0" fontId="20" fillId="0" borderId="0" xfId="0" applyFont="1" applyBorder="1" applyAlignment="1">
      <alignment vertical="center" wrapText="1"/>
    </xf>
    <xf numFmtId="0" fontId="21" fillId="0" borderId="35" xfId="0" applyFont="1" applyBorder="1" applyAlignment="1">
      <alignment horizontal="left" vertical="center"/>
    </xf>
    <xf numFmtId="0" fontId="21" fillId="0" borderId="42" xfId="0" applyFont="1" applyBorder="1" applyAlignment="1">
      <alignment horizontal="left" vertical="center"/>
    </xf>
    <xf numFmtId="0" fontId="20" fillId="0" borderId="27" xfId="0" applyFont="1" applyBorder="1" applyAlignment="1">
      <alignment horizontal="left" vertical="center" wrapText="1" shrinkToFit="1"/>
    </xf>
    <xf numFmtId="0" fontId="20" fillId="0" borderId="24" xfId="0" applyFont="1" applyBorder="1" applyAlignment="1">
      <alignment horizontal="left" vertical="center" wrapText="1" shrinkToFit="1"/>
    </xf>
    <xf numFmtId="0" fontId="20" fillId="0" borderId="31" xfId="0" applyFont="1" applyBorder="1" applyAlignment="1">
      <alignment horizontal="left" vertical="center" wrapText="1" shrinkToFit="1"/>
    </xf>
    <xf numFmtId="0" fontId="20" fillId="0" borderId="0" xfId="0" applyFont="1" applyBorder="1" applyAlignment="1">
      <alignment horizontal="left" vertical="center" wrapText="1" shrinkToFit="1"/>
    </xf>
    <xf numFmtId="0" fontId="20" fillId="0" borderId="7" xfId="0" quotePrefix="1" applyFont="1" applyBorder="1" applyAlignment="1">
      <alignment vertical="center" wrapText="1"/>
    </xf>
    <xf numFmtId="0" fontId="20" fillId="0" borderId="7" xfId="0" applyFont="1" applyBorder="1" applyAlignment="1">
      <alignment vertical="center" wrapText="1"/>
    </xf>
    <xf numFmtId="0" fontId="20" fillId="0" borderId="45" xfId="0" applyFont="1" applyBorder="1" applyAlignment="1">
      <alignment horizontal="left" vertical="top" wrapText="1"/>
    </xf>
    <xf numFmtId="0" fontId="20" fillId="0" borderId="21" xfId="0" applyFont="1" applyBorder="1" applyAlignment="1">
      <alignment horizontal="left" vertical="top" wrapText="1"/>
    </xf>
    <xf numFmtId="0" fontId="20" fillId="0" borderId="51" xfId="0" applyFont="1" applyBorder="1" applyAlignment="1">
      <alignment horizontal="left" vertical="top" wrapText="1"/>
    </xf>
    <xf numFmtId="0" fontId="28" fillId="0" borderId="45" xfId="0" applyFont="1" applyBorder="1" applyAlignment="1">
      <alignment horizontal="center" vertical="top" wrapText="1"/>
    </xf>
    <xf numFmtId="0" fontId="28" fillId="0" borderId="51" xfId="0" applyFont="1" applyBorder="1" applyAlignment="1">
      <alignment horizontal="center" vertical="top" wrapText="1"/>
    </xf>
    <xf numFmtId="0" fontId="20" fillId="0" borderId="20" xfId="0" applyFont="1" applyBorder="1" applyAlignment="1">
      <alignment horizontal="center" vertical="top" shrinkToFit="1"/>
    </xf>
    <xf numFmtId="0" fontId="19" fillId="0" borderId="12" xfId="0" applyFont="1" applyBorder="1" applyAlignment="1">
      <alignment vertical="top"/>
    </xf>
    <xf numFmtId="0" fontId="24" fillId="0" borderId="115" xfId="0" applyFont="1" applyBorder="1" applyAlignment="1">
      <alignment horizontal="center" vertical="center" shrinkToFit="1"/>
    </xf>
    <xf numFmtId="0" fontId="24" fillId="0" borderId="116" xfId="0" applyFont="1" applyBorder="1" applyAlignment="1">
      <alignment horizontal="center" vertical="center" shrinkToFit="1"/>
    </xf>
    <xf numFmtId="0" fontId="20" fillId="0" borderId="31" xfId="0" applyFont="1" applyBorder="1" applyAlignment="1">
      <alignment horizontal="left" vertical="center"/>
    </xf>
    <xf numFmtId="0" fontId="20" fillId="0" borderId="0" xfId="0" applyFont="1" applyBorder="1" applyAlignment="1">
      <alignment horizontal="left" vertical="center"/>
    </xf>
    <xf numFmtId="0" fontId="20" fillId="0" borderId="22" xfId="0" applyFont="1" applyBorder="1" applyAlignment="1">
      <alignment horizontal="left" vertical="center"/>
    </xf>
    <xf numFmtId="0" fontId="20" fillId="0" borderId="113" xfId="0" applyFont="1" applyBorder="1" applyAlignment="1">
      <alignment horizontal="center" vertical="center"/>
    </xf>
    <xf numFmtId="0" fontId="20" fillId="0" borderId="114" xfId="0" applyFont="1" applyBorder="1" applyAlignment="1">
      <alignment horizontal="left" vertical="center" wrapText="1" shrinkToFit="1"/>
    </xf>
    <xf numFmtId="0" fontId="20" fillId="0" borderId="33" xfId="0" applyFont="1" applyBorder="1" applyAlignment="1">
      <alignment horizontal="left" vertical="center" wrapText="1" shrinkToFit="1"/>
    </xf>
    <xf numFmtId="0" fontId="20" fillId="0" borderId="45" xfId="0" applyFont="1" applyBorder="1" applyAlignment="1">
      <alignment horizontal="left" vertical="center" wrapText="1"/>
    </xf>
    <xf numFmtId="0" fontId="20" fillId="0" borderId="21" xfId="0" applyFont="1" applyBorder="1" applyAlignment="1">
      <alignment horizontal="left" vertical="center" wrapText="1"/>
    </xf>
    <xf numFmtId="0" fontId="20" fillId="0" borderId="6" xfId="0" applyFont="1" applyBorder="1" applyAlignment="1">
      <alignment horizontal="left" vertical="top" wrapText="1"/>
    </xf>
    <xf numFmtId="0" fontId="20" fillId="0" borderId="7" xfId="0" applyFont="1" applyBorder="1" applyAlignment="1">
      <alignment horizontal="left" vertical="top" wrapText="1"/>
    </xf>
    <xf numFmtId="0" fontId="20" fillId="0" borderId="102" xfId="0" applyFont="1" applyBorder="1" applyAlignment="1">
      <alignment vertical="center"/>
    </xf>
    <xf numFmtId="0" fontId="20" fillId="0" borderId="32" xfId="0" applyFont="1" applyBorder="1" applyAlignment="1">
      <alignment vertical="center" wrapText="1"/>
    </xf>
    <xf numFmtId="0" fontId="20" fillId="0" borderId="91" xfId="0" applyFont="1" applyBorder="1" applyAlignment="1">
      <alignment horizontal="left" vertical="center"/>
    </xf>
    <xf numFmtId="0" fontId="20" fillId="0" borderId="19" xfId="0" applyFont="1" applyBorder="1" applyAlignment="1">
      <alignment horizontal="left" vertical="center"/>
    </xf>
    <xf numFmtId="0" fontId="20" fillId="0" borderId="73" xfId="0" applyFont="1" applyBorder="1" applyAlignment="1">
      <alignment horizontal="left" vertical="center"/>
    </xf>
    <xf numFmtId="0" fontId="20" fillId="0" borderId="25" xfId="0" applyFont="1" applyBorder="1" applyAlignment="1">
      <alignment horizontal="left" vertical="center" wrapText="1"/>
    </xf>
    <xf numFmtId="0" fontId="20" fillId="0" borderId="31" xfId="0" applyFont="1" applyBorder="1" applyAlignment="1">
      <alignment horizontal="left"/>
    </xf>
    <xf numFmtId="0" fontId="20" fillId="0" borderId="0" xfId="0" applyFont="1" applyBorder="1" applyAlignment="1">
      <alignment horizontal="left"/>
    </xf>
    <xf numFmtId="0" fontId="20" fillId="0" borderId="22" xfId="0" applyFont="1" applyBorder="1" applyAlignment="1">
      <alignment horizontal="left"/>
    </xf>
    <xf numFmtId="0" fontId="20" fillId="0" borderId="31" xfId="0" applyFont="1" applyBorder="1" applyAlignment="1">
      <alignment horizontal="left" vertical="top" wrapText="1"/>
    </xf>
    <xf numFmtId="0" fontId="20" fillId="0" borderId="0" xfId="0" applyFont="1" applyBorder="1" applyAlignment="1">
      <alignment horizontal="left" vertical="top" wrapText="1"/>
    </xf>
    <xf numFmtId="0" fontId="20" fillId="0" borderId="22" xfId="0" applyFont="1" applyBorder="1" applyAlignment="1">
      <alignment horizontal="left" vertical="top" wrapText="1"/>
    </xf>
    <xf numFmtId="0" fontId="20" fillId="0" borderId="55" xfId="0" applyFont="1" applyBorder="1" applyAlignment="1">
      <alignment horizontal="left" vertical="top" wrapText="1"/>
    </xf>
    <xf numFmtId="0" fontId="20" fillId="0" borderId="54" xfId="0" applyFont="1" applyBorder="1" applyAlignment="1">
      <alignment horizontal="left" vertical="top" wrapText="1"/>
    </xf>
    <xf numFmtId="0" fontId="20" fillId="0" borderId="53" xfId="0" applyFont="1" applyBorder="1" applyAlignment="1">
      <alignment horizontal="left" vertical="top" wrapText="1"/>
    </xf>
    <xf numFmtId="0" fontId="28" fillId="0" borderId="55" xfId="0" applyFont="1" applyBorder="1" applyAlignment="1">
      <alignment horizontal="center" vertical="top" wrapText="1"/>
    </xf>
    <xf numFmtId="0" fontId="28" fillId="0" borderId="53" xfId="0" applyFont="1" applyBorder="1" applyAlignment="1">
      <alignment horizontal="center" vertical="top" wrapText="1"/>
    </xf>
    <xf numFmtId="0" fontId="20" fillId="0" borderId="52" xfId="0" applyFont="1" applyBorder="1" applyAlignment="1">
      <alignment horizontal="center" vertical="top" shrinkToFit="1"/>
    </xf>
    <xf numFmtId="0" fontId="19" fillId="0" borderId="13" xfId="0" applyFont="1" applyBorder="1" applyAlignment="1">
      <alignment vertical="top"/>
    </xf>
    <xf numFmtId="0" fontId="31" fillId="0" borderId="0" xfId="0" applyFont="1" applyBorder="1" applyAlignment="1">
      <alignment horizontal="left" vertical="top" shrinkToFit="1"/>
    </xf>
    <xf numFmtId="0" fontId="33" fillId="0" borderId="0" xfId="0" applyFont="1" applyBorder="1" applyAlignment="1">
      <alignment horizontal="left" vertical="top"/>
    </xf>
    <xf numFmtId="0" fontId="28" fillId="0" borderId="119" xfId="0" applyFont="1" applyBorder="1" applyAlignment="1">
      <alignment horizontal="center" vertical="center" shrinkToFit="1"/>
    </xf>
    <xf numFmtId="0" fontId="28" fillId="0" borderId="120" xfId="0" applyFont="1" applyBorder="1" applyAlignment="1">
      <alignment horizontal="center"/>
    </xf>
    <xf numFmtId="0" fontId="28" fillId="0" borderId="80" xfId="0" applyFont="1" applyBorder="1" applyAlignment="1">
      <alignment horizontal="center"/>
    </xf>
    <xf numFmtId="0" fontId="28" fillId="0" borderId="121" xfId="0" applyFont="1" applyBorder="1" applyAlignment="1">
      <alignment horizontal="center"/>
    </xf>
    <xf numFmtId="0" fontId="28" fillId="0" borderId="122" xfId="0" applyFont="1" applyBorder="1" applyAlignment="1">
      <alignment horizontal="center" vertical="center" wrapText="1"/>
    </xf>
    <xf numFmtId="0" fontId="28" fillId="0" borderId="9" xfId="0" applyFont="1" applyBorder="1" applyAlignment="1">
      <alignment horizontal="center"/>
    </xf>
    <xf numFmtId="0" fontId="28" fillId="0" borderId="123" xfId="0" applyFont="1" applyBorder="1" applyAlignment="1">
      <alignment horizontal="center" vertical="center" wrapText="1"/>
    </xf>
    <xf numFmtId="0" fontId="28" fillId="0" borderId="124" xfId="0" applyFont="1" applyBorder="1" applyAlignment="1">
      <alignment horizontal="center" vertical="center" wrapText="1"/>
    </xf>
    <xf numFmtId="0" fontId="28" fillId="0" borderId="9" xfId="0" applyFont="1" applyBorder="1" applyAlignment="1">
      <alignment horizontal="center" vertical="center" wrapText="1"/>
    </xf>
    <xf numFmtId="0" fontId="28" fillId="0" borderId="32" xfId="0" applyFont="1" applyBorder="1" applyAlignment="1">
      <alignment horizontal="center" vertical="center" wrapText="1"/>
    </xf>
    <xf numFmtId="0" fontId="28" fillId="0" borderId="28" xfId="0" applyFont="1" applyBorder="1" applyAlignment="1">
      <alignment horizontal="center" vertical="center" wrapText="1"/>
    </xf>
    <xf numFmtId="0" fontId="24" fillId="0" borderId="104" xfId="0" applyFont="1" applyBorder="1" applyAlignment="1">
      <alignment horizontal="center" vertical="center" wrapText="1"/>
    </xf>
    <xf numFmtId="0" fontId="24" fillId="0" borderId="116" xfId="0" applyFont="1" applyBorder="1" applyAlignment="1">
      <alignment horizontal="center" vertical="center" wrapText="1"/>
    </xf>
    <xf numFmtId="0" fontId="28" fillId="0" borderId="104" xfId="0" applyFont="1" applyBorder="1" applyAlignment="1">
      <alignment horizontal="center" vertical="center" wrapText="1"/>
    </xf>
    <xf numFmtId="0" fontId="28" fillId="0" borderId="117" xfId="0" applyFont="1" applyBorder="1" applyAlignment="1">
      <alignment horizontal="center" vertical="center" wrapText="1"/>
    </xf>
    <xf numFmtId="0" fontId="28" fillId="0" borderId="118" xfId="0" applyFont="1" applyBorder="1" applyAlignment="1">
      <alignment horizontal="center" vertical="center" wrapText="1"/>
    </xf>
    <xf numFmtId="0" fontId="20" fillId="0" borderId="45" xfId="0" applyFont="1" applyBorder="1" applyAlignment="1"/>
    <xf numFmtId="0" fontId="19" fillId="0" borderId="21" xfId="0" applyFont="1" applyBorder="1" applyAlignment="1"/>
    <xf numFmtId="0" fontId="20" fillId="0" borderId="12" xfId="0" applyFont="1" applyBorder="1" applyAlignment="1">
      <alignment horizontal="left" vertical="top" wrapText="1"/>
    </xf>
    <xf numFmtId="0" fontId="19" fillId="0" borderId="12" xfId="0" applyFont="1" applyBorder="1" applyAlignment="1">
      <alignment vertical="top" wrapText="1"/>
    </xf>
    <xf numFmtId="0" fontId="19" fillId="0" borderId="45" xfId="0" applyFont="1" applyBorder="1" applyAlignment="1">
      <alignment vertical="top" wrapText="1"/>
    </xf>
    <xf numFmtId="0" fontId="20" fillId="0" borderId="21" xfId="0" applyFont="1" applyBorder="1" applyAlignment="1"/>
    <xf numFmtId="0" fontId="19" fillId="0" borderId="25" xfId="0" applyFont="1" applyBorder="1" applyAlignment="1"/>
    <xf numFmtId="0" fontId="24" fillId="0" borderId="117" xfId="0" applyFont="1" applyBorder="1" applyAlignment="1">
      <alignment horizontal="center" vertical="center" wrapText="1"/>
    </xf>
    <xf numFmtId="0" fontId="28" fillId="0" borderId="45" xfId="0" applyFont="1" applyBorder="1" applyAlignment="1">
      <alignment horizontal="center" vertical="center" wrapText="1"/>
    </xf>
    <xf numFmtId="0" fontId="28" fillId="0" borderId="25" xfId="0" applyFont="1" applyBorder="1" applyAlignment="1">
      <alignment horizontal="center" vertical="center" wrapText="1"/>
    </xf>
    <xf numFmtId="0" fontId="28" fillId="0" borderId="107" xfId="0" applyFont="1" applyBorder="1" applyAlignment="1">
      <alignment horizontal="left" vertical="top" wrapText="1"/>
    </xf>
    <xf numFmtId="0" fontId="28" fillId="0" borderId="128" xfId="0" applyFont="1" applyBorder="1" applyAlignment="1">
      <alignment horizontal="left" vertical="top" wrapText="1"/>
    </xf>
    <xf numFmtId="0" fontId="28" fillId="0" borderId="129" xfId="0" applyFont="1" applyBorder="1" applyAlignment="1">
      <alignment horizontal="left" vertical="top" wrapText="1"/>
    </xf>
    <xf numFmtId="0" fontId="28" fillId="0" borderId="27" xfId="0" applyFont="1" applyBorder="1" applyAlignment="1">
      <alignment horizontal="center" vertical="center" wrapText="1"/>
    </xf>
    <xf numFmtId="0" fontId="28" fillId="0" borderId="26" xfId="0" applyFont="1" applyBorder="1" applyAlignment="1">
      <alignment horizontal="center" vertical="center" wrapText="1"/>
    </xf>
    <xf numFmtId="0" fontId="28" fillId="0" borderId="6" xfId="0" applyFont="1" applyBorder="1" applyAlignment="1">
      <alignment horizontal="center" vertical="center" wrapText="1"/>
    </xf>
    <xf numFmtId="0" fontId="28" fillId="0" borderId="23" xfId="0" applyFont="1" applyBorder="1" applyAlignment="1">
      <alignment horizontal="center" vertical="center" wrapText="1"/>
    </xf>
    <xf numFmtId="0" fontId="28" fillId="13" borderId="142" xfId="0" applyFont="1" applyFill="1" applyBorder="1" applyAlignment="1">
      <alignment horizontal="left" vertical="top" wrapText="1"/>
    </xf>
    <xf numFmtId="0" fontId="28" fillId="13" borderId="143" xfId="0" applyFont="1" applyFill="1" applyBorder="1" applyAlignment="1">
      <alignment horizontal="left" vertical="top" wrapText="1"/>
    </xf>
    <xf numFmtId="0" fontId="28" fillId="13" borderId="144" xfId="0" applyFont="1" applyFill="1" applyBorder="1" applyAlignment="1">
      <alignment horizontal="left" vertical="top" wrapText="1"/>
    </xf>
    <xf numFmtId="0" fontId="28" fillId="13" borderId="107" xfId="0" applyFont="1" applyFill="1" applyBorder="1" applyAlignment="1">
      <alignment horizontal="left" vertical="top" wrapText="1"/>
    </xf>
    <xf numFmtId="0" fontId="28" fillId="13" borderId="128" xfId="0" applyFont="1" applyFill="1" applyBorder="1" applyAlignment="1">
      <alignment horizontal="left" vertical="top" wrapText="1"/>
    </xf>
    <xf numFmtId="0" fontId="28" fillId="13" borderId="129" xfId="0" applyFont="1" applyFill="1" applyBorder="1" applyAlignment="1">
      <alignment horizontal="left" vertical="top" wrapText="1"/>
    </xf>
    <xf numFmtId="0" fontId="20" fillId="0" borderId="31" xfId="0" quotePrefix="1" applyFont="1" applyBorder="1" applyAlignment="1">
      <alignment vertical="center" wrapText="1"/>
    </xf>
    <xf numFmtId="0" fontId="20" fillId="0" borderId="31" xfId="0" applyFont="1" applyBorder="1" applyAlignment="1">
      <alignment vertical="center" wrapText="1"/>
    </xf>
    <xf numFmtId="0" fontId="20" fillId="0" borderId="45" xfId="0" applyFont="1" applyBorder="1" applyAlignment="1">
      <alignment horizontal="center" vertical="top" wrapText="1"/>
    </xf>
    <xf numFmtId="0" fontId="20" fillId="0" borderId="25" xfId="0" applyFont="1" applyBorder="1" applyAlignment="1">
      <alignment horizontal="center" vertical="top" wrapText="1"/>
    </xf>
    <xf numFmtId="0" fontId="20" fillId="0" borderId="13" xfId="0" applyFont="1" applyBorder="1" applyAlignment="1">
      <alignment horizontal="left" vertical="top" wrapText="1"/>
    </xf>
    <xf numFmtId="0" fontId="19" fillId="0" borderId="13" xfId="0" applyFont="1" applyBorder="1" applyAlignment="1">
      <alignment vertical="top" wrapText="1"/>
    </xf>
    <xf numFmtId="0" fontId="19" fillId="0" borderId="55" xfId="0" applyFont="1" applyBorder="1" applyAlignment="1">
      <alignment vertical="top" wrapText="1"/>
    </xf>
    <xf numFmtId="0" fontId="20" fillId="0" borderId="19" xfId="0" applyFont="1" applyBorder="1" applyAlignment="1"/>
    <xf numFmtId="0" fontId="19" fillId="0" borderId="19" xfId="0" applyFont="1" applyBorder="1" applyAlignment="1"/>
    <xf numFmtId="0" fontId="19" fillId="0" borderId="73" xfId="0" applyFont="1" applyBorder="1" applyAlignment="1"/>
    <xf numFmtId="0" fontId="20" fillId="0" borderId="0" xfId="0" quotePrefix="1" applyFont="1" applyBorder="1" applyAlignment="1">
      <alignment wrapText="1"/>
    </xf>
    <xf numFmtId="0" fontId="20" fillId="0" borderId="0" xfId="0" applyFont="1" applyBorder="1" applyAlignment="1">
      <alignment wrapText="1"/>
    </xf>
    <xf numFmtId="0" fontId="20" fillId="0" borderId="127" xfId="0" applyFont="1" applyBorder="1" applyAlignment="1">
      <alignment horizontal="center" vertical="top" shrinkToFit="1"/>
    </xf>
    <xf numFmtId="0" fontId="20" fillId="0" borderId="126" xfId="0" applyFont="1" applyBorder="1" applyAlignment="1">
      <alignment horizontal="center" vertical="top" shrinkToFit="1"/>
    </xf>
    <xf numFmtId="0" fontId="20" fillId="0" borderId="55" xfId="0" applyFont="1" applyBorder="1" applyAlignment="1">
      <alignment horizontal="center" vertical="top" wrapText="1"/>
    </xf>
    <xf numFmtId="0" fontId="20" fillId="0" borderId="65" xfId="0" applyFont="1" applyBorder="1" applyAlignment="1">
      <alignment horizontal="center" vertical="top" wrapText="1"/>
    </xf>
    <xf numFmtId="0" fontId="20" fillId="0" borderId="55" xfId="0" applyFont="1" applyBorder="1" applyAlignment="1"/>
    <xf numFmtId="0" fontId="19" fillId="0" borderId="54" xfId="0" applyFont="1" applyBorder="1" applyAlignment="1"/>
    <xf numFmtId="0" fontId="20" fillId="0" borderId="54" xfId="0" applyFont="1" applyBorder="1" applyAlignment="1"/>
    <xf numFmtId="0" fontId="19" fillId="0" borderId="65" xfId="0" applyFont="1" applyBorder="1" applyAlignment="1"/>
    <xf numFmtId="0" fontId="20" fillId="0" borderId="18" xfId="0" applyFont="1" applyBorder="1" applyAlignment="1">
      <alignment horizontal="center" vertical="top" shrinkToFit="1"/>
    </xf>
    <xf numFmtId="0" fontId="19" fillId="0" borderId="132" xfId="0" applyFont="1" applyBorder="1" applyAlignment="1">
      <alignment vertical="top"/>
    </xf>
    <xf numFmtId="0" fontId="20" fillId="0" borderId="91" xfId="0" applyFont="1" applyBorder="1" applyAlignment="1"/>
    <xf numFmtId="0" fontId="20" fillId="0" borderId="125" xfId="0" applyFont="1" applyBorder="1" applyAlignment="1">
      <alignment horizontal="left" vertical="top" wrapText="1"/>
    </xf>
    <xf numFmtId="0" fontId="20" fillId="0" borderId="133" xfId="0" applyFont="1" applyBorder="1" applyAlignment="1">
      <alignment horizontal="left" vertical="top" wrapText="1"/>
    </xf>
    <xf numFmtId="0" fontId="20" fillId="0" borderId="126" xfId="0" applyFont="1" applyBorder="1" applyAlignment="1">
      <alignment horizontal="left" vertical="top" wrapText="1"/>
    </xf>
    <xf numFmtId="0" fontId="20" fillId="0" borderId="0" xfId="0" applyFont="1" applyAlignment="1">
      <alignment horizontal="justify" vertical="top" wrapText="1"/>
    </xf>
    <xf numFmtId="0" fontId="31" fillId="0" borderId="0" xfId="0" applyFont="1" applyBorder="1" applyAlignment="1">
      <alignment horizontal="left" vertical="top" wrapText="1"/>
    </xf>
    <xf numFmtId="0" fontId="30" fillId="0" borderId="0" xfId="0" applyFont="1" applyBorder="1" applyAlignment="1">
      <alignment vertical="top" wrapText="1"/>
    </xf>
    <xf numFmtId="0" fontId="28" fillId="0" borderId="115" xfId="0" applyFont="1" applyBorder="1" applyAlignment="1">
      <alignment horizontal="center" vertical="center"/>
    </xf>
    <xf numFmtId="0" fontId="28" fillId="0" borderId="116" xfId="0" applyFont="1" applyBorder="1" applyAlignment="1">
      <alignment horizontal="center" vertical="center"/>
    </xf>
    <xf numFmtId="0" fontId="28" fillId="0" borderId="104" xfId="0" applyFont="1" applyBorder="1" applyAlignment="1">
      <alignment horizontal="center" vertical="center"/>
    </xf>
    <xf numFmtId="0" fontId="28" fillId="0" borderId="125" xfId="0" applyFont="1" applyBorder="1" applyAlignment="1">
      <alignment horizontal="center" vertical="top" wrapText="1"/>
    </xf>
    <xf numFmtId="0" fontId="28" fillId="0" borderId="126" xfId="0" applyFont="1" applyBorder="1" applyAlignment="1">
      <alignment horizontal="center" vertical="top" wrapText="1"/>
    </xf>
    <xf numFmtId="0" fontId="28" fillId="0" borderId="45" xfId="0" applyFont="1" applyFill="1" applyBorder="1" applyAlignment="1">
      <alignment horizontal="center" vertical="center" wrapText="1"/>
    </xf>
    <xf numFmtId="0" fontId="28" fillId="0" borderId="25" xfId="0" applyFont="1" applyFill="1" applyBorder="1" applyAlignment="1">
      <alignment horizontal="center" vertical="center" wrapText="1"/>
    </xf>
    <xf numFmtId="0" fontId="20" fillId="0" borderId="44" xfId="0" applyFont="1" applyBorder="1" applyAlignment="1">
      <alignment horizontal="center" vertical="center" wrapText="1"/>
    </xf>
    <xf numFmtId="0" fontId="20" fillId="0" borderId="51" xfId="0" applyFont="1" applyBorder="1" applyAlignment="1">
      <alignment horizontal="center" vertical="center" wrapText="1"/>
    </xf>
    <xf numFmtId="0" fontId="20" fillId="0" borderId="45" xfId="0" applyFont="1" applyBorder="1" applyAlignment="1">
      <alignment horizontal="left" vertical="center"/>
    </xf>
    <xf numFmtId="0" fontId="20" fillId="0" borderId="21" xfId="0" applyFont="1" applyBorder="1" applyAlignment="1">
      <alignment horizontal="left" vertical="center"/>
    </xf>
    <xf numFmtId="0" fontId="20" fillId="0" borderId="51" xfId="0" applyFont="1" applyBorder="1" applyAlignment="1">
      <alignment horizontal="left" vertical="center"/>
    </xf>
    <xf numFmtId="0" fontId="19" fillId="0" borderId="21" xfId="0" applyFont="1" applyBorder="1" applyAlignment="1">
      <alignment vertical="center"/>
    </xf>
    <xf numFmtId="0" fontId="19" fillId="0" borderId="51" xfId="0" applyFont="1" applyBorder="1" applyAlignment="1">
      <alignment vertical="center"/>
    </xf>
    <xf numFmtId="0" fontId="20" fillId="0" borderId="51" xfId="0" applyFont="1" applyBorder="1" applyAlignment="1">
      <alignment horizontal="left" vertical="center" wrapText="1"/>
    </xf>
    <xf numFmtId="0" fontId="20" fillId="0" borderId="57" xfId="0" applyFont="1" applyBorder="1" applyAlignment="1">
      <alignment horizontal="left" vertical="center" wrapText="1"/>
    </xf>
    <xf numFmtId="0" fontId="20" fillId="0" borderId="9" xfId="0" applyFont="1" applyBorder="1" applyAlignment="1">
      <alignment horizontal="left" vertical="center" wrapText="1"/>
    </xf>
    <xf numFmtId="0" fontId="20" fillId="0" borderId="32" xfId="0" applyFont="1" applyBorder="1" applyAlignment="1">
      <alignment horizontal="left" vertical="center" wrapText="1"/>
    </xf>
    <xf numFmtId="0" fontId="20" fillId="0" borderId="121" xfId="0" applyFont="1" applyBorder="1" applyAlignment="1">
      <alignment horizontal="left" vertical="center" wrapText="1"/>
    </xf>
    <xf numFmtId="0" fontId="20" fillId="0" borderId="27" xfId="0" applyFont="1" applyBorder="1" applyAlignment="1">
      <alignment horizontal="left" vertical="top" wrapText="1"/>
    </xf>
    <xf numFmtId="0" fontId="20" fillId="0" borderId="24" xfId="0" applyFont="1" applyBorder="1" applyAlignment="1">
      <alignment horizontal="left" vertical="top" wrapText="1"/>
    </xf>
    <xf numFmtId="0" fontId="20" fillId="0" borderId="27" xfId="0" applyFont="1" applyBorder="1" applyAlignment="1">
      <alignment vertical="center" wrapText="1"/>
    </xf>
    <xf numFmtId="0" fontId="19" fillId="0" borderId="24" xfId="0" applyFont="1" applyBorder="1" applyAlignment="1">
      <alignment vertical="center"/>
    </xf>
    <xf numFmtId="0" fontId="19" fillId="0" borderId="57" xfId="0" applyFont="1" applyBorder="1" applyAlignment="1">
      <alignment vertical="center"/>
    </xf>
    <xf numFmtId="0" fontId="20" fillId="0" borderId="44" xfId="0" applyFont="1" applyBorder="1" applyAlignment="1">
      <alignment horizontal="center" vertical="center"/>
    </xf>
    <xf numFmtId="0" fontId="20" fillId="0" borderId="51" xfId="0" applyFont="1" applyBorder="1" applyAlignment="1">
      <alignment horizontal="center" vertical="center"/>
    </xf>
    <xf numFmtId="0" fontId="20" fillId="0" borderId="24" xfId="0" applyFont="1" applyBorder="1" applyAlignment="1">
      <alignment horizontal="left" vertical="center"/>
    </xf>
    <xf numFmtId="0" fontId="20" fillId="0" borderId="57" xfId="0" applyFont="1" applyBorder="1" applyAlignment="1">
      <alignment horizontal="left" vertical="center"/>
    </xf>
    <xf numFmtId="0" fontId="20" fillId="0" borderId="50" xfId="0" applyFont="1" applyBorder="1" applyAlignment="1">
      <alignment horizontal="center" vertical="center"/>
    </xf>
    <xf numFmtId="0" fontId="20" fillId="0" borderId="57" xfId="0" applyFont="1" applyBorder="1" applyAlignment="1">
      <alignment horizontal="center" vertical="center"/>
    </xf>
    <xf numFmtId="0" fontId="20" fillId="0" borderId="80" xfId="0" applyFont="1" applyBorder="1" applyAlignment="1">
      <alignment horizontal="center" vertical="center"/>
    </xf>
    <xf numFmtId="0" fontId="20" fillId="0" borderId="121" xfId="0" applyFont="1" applyBorder="1" applyAlignment="1">
      <alignment horizontal="center" vertical="center"/>
    </xf>
    <xf numFmtId="0" fontId="20" fillId="0" borderId="50" xfId="0" applyFont="1" applyBorder="1" applyAlignment="1">
      <alignment horizontal="center" vertical="center" wrapText="1"/>
    </xf>
    <xf numFmtId="0" fontId="20" fillId="0" borderId="57" xfId="0" applyFont="1" applyBorder="1" applyAlignment="1">
      <alignment horizontal="center" vertical="center" wrapText="1"/>
    </xf>
    <xf numFmtId="0" fontId="28" fillId="0" borderId="116" xfId="0" applyFont="1" applyBorder="1" applyAlignment="1">
      <alignment horizontal="center" vertical="center" wrapText="1"/>
    </xf>
    <xf numFmtId="0" fontId="28" fillId="0" borderId="106" xfId="0" applyFont="1" applyBorder="1" applyAlignment="1">
      <alignment horizontal="left" vertical="top" wrapText="1"/>
    </xf>
    <xf numFmtId="0" fontId="28" fillId="0" borderId="134" xfId="0" applyFont="1" applyBorder="1" applyAlignment="1">
      <alignment horizontal="left" vertical="top" wrapText="1"/>
    </xf>
    <xf numFmtId="0" fontId="28" fillId="0" borderId="135" xfId="0" applyFont="1" applyBorder="1" applyAlignment="1">
      <alignment horizontal="left" vertical="top" wrapText="1"/>
    </xf>
    <xf numFmtId="0" fontId="28" fillId="0" borderId="108" xfId="0" applyFont="1" applyBorder="1" applyAlignment="1">
      <alignment horizontal="left" vertical="top" wrapText="1"/>
    </xf>
    <xf numFmtId="0" fontId="28" fillId="0" borderId="136" xfId="0" applyFont="1" applyBorder="1" applyAlignment="1">
      <alignment horizontal="left" vertical="top" wrapText="1"/>
    </xf>
    <xf numFmtId="0" fontId="28" fillId="0" borderId="137" xfId="0" applyFont="1" applyBorder="1" applyAlignment="1">
      <alignment horizontal="left" vertical="top" wrapText="1"/>
    </xf>
    <xf numFmtId="0" fontId="20" fillId="0" borderId="115" xfId="0" applyFont="1" applyBorder="1" applyAlignment="1">
      <alignment horizontal="center" vertical="center" shrinkToFit="1"/>
    </xf>
    <xf numFmtId="0" fontId="20" fillId="0" borderId="116" xfId="0" applyFont="1" applyBorder="1" applyAlignment="1">
      <alignment horizontal="center" vertical="center" shrinkToFit="1"/>
    </xf>
    <xf numFmtId="0" fontId="28" fillId="0" borderId="109" xfId="0" applyFont="1" applyBorder="1" applyAlignment="1">
      <alignment horizontal="left" vertical="top" wrapText="1"/>
    </xf>
    <xf numFmtId="0" fontId="28" fillId="0" borderId="138" xfId="0" applyFont="1" applyBorder="1" applyAlignment="1">
      <alignment horizontal="left" vertical="top" wrapText="1"/>
    </xf>
    <xf numFmtId="0" fontId="28" fillId="0" borderId="139" xfId="0" applyFont="1" applyBorder="1" applyAlignment="1">
      <alignment horizontal="left" vertical="top" wrapText="1"/>
    </xf>
    <xf numFmtId="0" fontId="28" fillId="0" borderId="120" xfId="0" applyFont="1" applyBorder="1"/>
    <xf numFmtId="0" fontId="28" fillId="0" borderId="80" xfId="0" applyFont="1" applyBorder="1"/>
    <xf numFmtId="0" fontId="28" fillId="0" borderId="121" xfId="0" applyFont="1" applyBorder="1"/>
    <xf numFmtId="0" fontId="28" fillId="0" borderId="122" xfId="0" applyFont="1" applyBorder="1" applyAlignment="1">
      <alignment horizontal="left" vertical="center" wrapText="1"/>
    </xf>
    <xf numFmtId="0" fontId="28" fillId="0" borderId="120" xfId="0" applyFont="1" applyBorder="1" applyAlignment="1">
      <alignment horizontal="left"/>
    </xf>
    <xf numFmtId="0" fontId="28" fillId="0" borderId="9" xfId="0" applyFont="1" applyBorder="1" applyAlignment="1">
      <alignment horizontal="left"/>
    </xf>
    <xf numFmtId="0" fontId="28" fillId="0" borderId="121" xfId="0" applyFont="1" applyBorder="1" applyAlignment="1">
      <alignment horizontal="left"/>
    </xf>
    <xf numFmtId="0" fontId="28" fillId="0" borderId="111" xfId="0" applyFont="1" applyBorder="1" applyAlignment="1">
      <alignment horizontal="left" vertical="top" wrapText="1"/>
    </xf>
    <xf numFmtId="0" fontId="28" fillId="0" borderId="130" xfId="0" applyFont="1" applyBorder="1" applyAlignment="1">
      <alignment horizontal="left" vertical="top" wrapText="1"/>
    </xf>
    <xf numFmtId="0" fontId="28" fillId="0" borderId="131" xfId="0" applyFont="1" applyBorder="1" applyAlignment="1">
      <alignment horizontal="left" vertical="top" wrapText="1"/>
    </xf>
    <xf numFmtId="0" fontId="28" fillId="0" borderId="107" xfId="0" applyFont="1" applyBorder="1" applyAlignment="1">
      <alignment horizontal="left" vertical="top" wrapText="1" shrinkToFit="1"/>
    </xf>
    <xf numFmtId="0" fontId="28" fillId="0" borderId="128" xfId="0" applyFont="1" applyBorder="1" applyAlignment="1">
      <alignment horizontal="left" vertical="top" wrapText="1" shrinkToFit="1"/>
    </xf>
    <xf numFmtId="0" fontId="28" fillId="0" borderId="129" xfId="0" applyFont="1" applyBorder="1" applyAlignment="1">
      <alignment horizontal="left" vertical="top" wrapText="1" shrinkToFit="1"/>
    </xf>
    <xf numFmtId="0" fontId="28" fillId="0" borderId="57" xfId="0" applyFont="1" applyBorder="1" applyAlignment="1">
      <alignment horizontal="center" vertical="center" wrapText="1"/>
    </xf>
    <xf numFmtId="0" fontId="28" fillId="0" borderId="31" xfId="0" applyFont="1" applyBorder="1" applyAlignment="1">
      <alignment horizontal="center" vertical="center" wrapText="1"/>
    </xf>
    <xf numFmtId="0" fontId="28" fillId="0" borderId="38" xfId="0" applyFont="1" applyBorder="1" applyAlignment="1">
      <alignment horizontal="center" vertical="center" wrapText="1"/>
    </xf>
    <xf numFmtId="0" fontId="28" fillId="0" borderId="8" xfId="0" applyFont="1" applyBorder="1" applyAlignment="1">
      <alignment horizontal="center" vertical="center" wrapText="1"/>
    </xf>
    <xf numFmtId="0" fontId="28" fillId="0" borderId="50" xfId="0" applyFont="1" applyBorder="1" applyAlignment="1">
      <alignment horizontal="center" vertical="center" wrapText="1"/>
    </xf>
    <xf numFmtId="0" fontId="28" fillId="0" borderId="16" xfId="0" applyFont="1" applyBorder="1" applyAlignment="1">
      <alignment horizontal="center" vertical="center" wrapText="1"/>
    </xf>
    <xf numFmtId="0" fontId="28" fillId="0" borderId="41" xfId="0" applyFont="1" applyBorder="1" applyAlignment="1">
      <alignment horizontal="center" vertical="center" wrapText="1"/>
    </xf>
    <xf numFmtId="0" fontId="20" fillId="0" borderId="0" xfId="0" quotePrefix="1" applyFont="1" applyAlignment="1">
      <alignment horizontal="left"/>
    </xf>
    <xf numFmtId="0" fontId="20" fillId="0" borderId="0" xfId="0" applyFont="1" applyFill="1" applyAlignment="1">
      <alignment horizontal="left"/>
    </xf>
    <xf numFmtId="0" fontId="20" fillId="0" borderId="0" xfId="0" quotePrefix="1" applyFont="1" applyAlignment="1">
      <alignment horizontal="left" shrinkToFit="1"/>
    </xf>
    <xf numFmtId="0" fontId="20" fillId="0" borderId="0" xfId="0" applyFont="1" applyAlignment="1">
      <alignment horizontal="left"/>
    </xf>
    <xf numFmtId="0" fontId="24" fillId="0" borderId="0" xfId="0" applyFont="1" applyAlignment="1">
      <alignment horizontal="left"/>
    </xf>
    <xf numFmtId="0" fontId="20" fillId="0" borderId="0" xfId="0" applyFont="1" applyAlignment="1"/>
    <xf numFmtId="0" fontId="28" fillId="0" borderId="0" xfId="0" applyFont="1" applyFill="1" applyAlignment="1">
      <alignment horizontal="left"/>
    </xf>
    <xf numFmtId="0" fontId="28" fillId="0" borderId="0" xfId="0" applyFont="1" applyFill="1" applyAlignment="1">
      <alignment horizontal="left" vertical="top"/>
    </xf>
    <xf numFmtId="0" fontId="28" fillId="0" borderId="0" xfId="0" applyFont="1" applyFill="1" applyAlignment="1">
      <alignment horizontal="left" vertical="top" shrinkToFit="1"/>
    </xf>
    <xf numFmtId="0" fontId="28" fillId="0" borderId="0" xfId="0" applyFont="1" applyAlignment="1">
      <alignment horizontal="left"/>
    </xf>
    <xf numFmtId="0" fontId="25" fillId="0" borderId="0" xfId="0" applyFont="1" applyFill="1" applyAlignment="1">
      <alignment horizontal="left"/>
    </xf>
    <xf numFmtId="0" fontId="20" fillId="0" borderId="0" xfId="0" quotePrefix="1" applyFont="1" applyAlignment="1">
      <alignment horizontal="left" vertical="center" shrinkToFit="1"/>
    </xf>
    <xf numFmtId="0" fontId="24" fillId="0" borderId="0" xfId="0" applyFont="1" applyAlignment="1">
      <alignment horizontal="left" shrinkToFit="1"/>
    </xf>
    <xf numFmtId="0" fontId="28" fillId="0" borderId="34" xfId="0" applyFont="1" applyBorder="1" applyAlignment="1">
      <alignment horizontal="center" vertical="center"/>
    </xf>
    <xf numFmtId="0" fontId="28" fillId="0" borderId="140" xfId="0" applyFont="1" applyBorder="1" applyAlignment="1">
      <alignment horizontal="center" vertical="center"/>
    </xf>
    <xf numFmtId="0" fontId="28" fillId="0" borderId="16" xfId="0" applyFont="1" applyBorder="1"/>
    <xf numFmtId="0" fontId="28" fillId="0" borderId="38" xfId="0" applyFont="1" applyBorder="1"/>
    <xf numFmtId="0" fontId="28" fillId="0" borderId="31" xfId="0" applyFont="1" applyBorder="1" applyAlignment="1">
      <alignment horizontal="left"/>
    </xf>
    <xf numFmtId="0" fontId="28" fillId="0" borderId="38" xfId="0" applyFont="1" applyBorder="1" applyAlignment="1">
      <alignment horizontal="left"/>
    </xf>
    <xf numFmtId="0" fontId="28" fillId="0" borderId="57" xfId="0" applyFont="1" applyBorder="1"/>
    <xf numFmtId="0" fontId="28" fillId="0" borderId="27" xfId="0" applyFont="1" applyBorder="1" applyAlignment="1">
      <alignment vertical="center" wrapText="1"/>
    </xf>
    <xf numFmtId="0" fontId="28" fillId="0" borderId="31" xfId="0" applyFont="1" applyBorder="1"/>
    <xf numFmtId="0" fontId="28" fillId="0" borderId="9" xfId="0" applyFont="1" applyBorder="1"/>
    <xf numFmtId="0" fontId="20" fillId="0" borderId="104" xfId="0" applyFont="1" applyBorder="1" applyAlignment="1">
      <alignment horizontal="center" vertical="center" wrapText="1"/>
    </xf>
    <xf numFmtId="0" fontId="20" fillId="0" borderId="117" xfId="0" applyFont="1" applyBorder="1" applyAlignment="1">
      <alignment horizontal="center" vertical="center" wrapText="1"/>
    </xf>
    <xf numFmtId="0" fontId="20" fillId="0" borderId="116" xfId="0" applyFont="1" applyBorder="1" applyAlignment="1">
      <alignment horizontal="center" vertical="center" wrapText="1"/>
    </xf>
    <xf numFmtId="0" fontId="20" fillId="0" borderId="122" xfId="0" applyFont="1" applyBorder="1" applyAlignment="1">
      <alignment horizontal="left" vertical="center" wrapText="1"/>
    </xf>
    <xf numFmtId="0" fontId="20" fillId="0" borderId="123" xfId="0" applyFont="1" applyBorder="1" applyAlignment="1">
      <alignment horizontal="left" vertical="center" wrapText="1"/>
    </xf>
    <xf numFmtId="0" fontId="20" fillId="0" borderId="120" xfId="0" applyFont="1" applyBorder="1" applyAlignment="1">
      <alignment horizontal="left" vertical="center" wrapText="1"/>
    </xf>
    <xf numFmtId="0" fontId="20" fillId="0" borderId="38" xfId="0" applyFont="1" applyBorder="1" applyAlignment="1">
      <alignment horizontal="left" vertical="center" wrapText="1"/>
    </xf>
    <xf numFmtId="0" fontId="20" fillId="0" borderId="6" xfId="0" applyFont="1" applyBorder="1" applyAlignment="1">
      <alignment horizontal="left" vertical="center" wrapText="1"/>
    </xf>
    <xf numFmtId="0" fontId="20" fillId="0" borderId="7" xfId="0" applyFont="1" applyBorder="1" applyAlignment="1">
      <alignment horizontal="left" vertical="center" wrapText="1"/>
    </xf>
    <xf numFmtId="0" fontId="20" fillId="0" borderId="8" xfId="0" applyFont="1" applyBorder="1" applyAlignment="1">
      <alignment horizontal="left" vertical="center" wrapText="1"/>
    </xf>
    <xf numFmtId="0" fontId="19" fillId="0" borderId="117" xfId="0" applyFont="1" applyBorder="1" applyAlignment="1">
      <alignment horizontal="center" vertical="center" wrapText="1"/>
    </xf>
    <xf numFmtId="0" fontId="19" fillId="0" borderId="116" xfId="0" applyFont="1" applyBorder="1" applyAlignment="1">
      <alignment horizontal="center" vertical="center" wrapText="1"/>
    </xf>
    <xf numFmtId="0" fontId="19" fillId="0" borderId="133" xfId="0" applyFont="1" applyBorder="1" applyAlignment="1"/>
    <xf numFmtId="0" fontId="19" fillId="0" borderId="126" xfId="0" applyFont="1" applyBorder="1" applyAlignment="1"/>
    <xf numFmtId="0" fontId="20" fillId="0" borderId="119" xfId="0" applyFont="1" applyBorder="1" applyAlignment="1">
      <alignment horizontal="center" vertical="center"/>
    </xf>
    <xf numFmtId="0" fontId="20" fillId="0" borderId="120" xfId="0" applyFont="1" applyBorder="1" applyAlignment="1">
      <alignment horizontal="center" vertical="center"/>
    </xf>
    <xf numFmtId="0" fontId="20" fillId="0" borderId="16" xfId="0" applyFont="1" applyBorder="1" applyAlignment="1">
      <alignment horizontal="center" vertical="center"/>
    </xf>
    <xf numFmtId="0" fontId="20" fillId="0" borderId="38" xfId="0" applyFont="1" applyBorder="1" applyAlignment="1">
      <alignment horizontal="center" vertical="center"/>
    </xf>
    <xf numFmtId="0" fontId="20" fillId="0" borderId="41" xfId="0" applyFont="1" applyBorder="1" applyAlignment="1">
      <alignment horizontal="center" vertical="center"/>
    </xf>
    <xf numFmtId="0" fontId="20" fillId="0" borderId="8" xfId="0" applyFont="1" applyBorder="1" applyAlignment="1">
      <alignment horizontal="center" vertical="center"/>
    </xf>
    <xf numFmtId="0" fontId="28" fillId="0" borderId="125" xfId="0" applyFont="1" applyBorder="1" applyAlignment="1">
      <alignment horizontal="center" vertical="center" wrapText="1"/>
    </xf>
    <xf numFmtId="0" fontId="28" fillId="0" borderId="141" xfId="0" applyFont="1" applyBorder="1" applyAlignment="1">
      <alignment horizontal="center" vertical="center" wrapText="1"/>
    </xf>
    <xf numFmtId="0" fontId="28" fillId="13" borderId="109" xfId="0" applyFont="1" applyFill="1" applyBorder="1" applyAlignment="1">
      <alignment horizontal="left" vertical="top" wrapText="1"/>
    </xf>
    <xf numFmtId="0" fontId="28" fillId="13" borderId="138" xfId="0" applyFont="1" applyFill="1" applyBorder="1" applyAlignment="1">
      <alignment horizontal="left" vertical="top" wrapText="1"/>
    </xf>
    <xf numFmtId="0" fontId="28" fillId="13" borderId="139" xfId="0" applyFont="1" applyFill="1" applyBorder="1" applyAlignment="1">
      <alignment horizontal="left" vertical="top" wrapText="1"/>
    </xf>
    <xf numFmtId="0" fontId="19" fillId="0" borderId="24" xfId="0" applyFont="1" applyBorder="1" applyAlignment="1"/>
    <xf numFmtId="0" fontId="19" fillId="0" borderId="57" xfId="0" applyFont="1" applyBorder="1" applyAlignment="1"/>
    <xf numFmtId="0" fontId="20" fillId="0" borderId="0" xfId="0" applyFont="1" applyAlignment="1">
      <alignment horizontal="left" vertical="top" shrinkToFit="1"/>
    </xf>
    <xf numFmtId="0" fontId="20" fillId="0" borderId="0" xfId="0" applyFont="1" applyFill="1" applyAlignment="1">
      <alignment horizontal="left" vertical="top" shrinkToFit="1"/>
    </xf>
    <xf numFmtId="0" fontId="20" fillId="0" borderId="125" xfId="0" quotePrefix="1" applyNumberFormat="1" applyFont="1" applyBorder="1" applyAlignment="1">
      <alignment horizontal="center" vertical="top" wrapText="1"/>
    </xf>
    <xf numFmtId="0" fontId="20" fillId="0" borderId="141" xfId="0" quotePrefix="1" applyNumberFormat="1" applyFont="1" applyBorder="1" applyAlignment="1">
      <alignment horizontal="center" vertical="top" wrapText="1"/>
    </xf>
    <xf numFmtId="0" fontId="26" fillId="0" borderId="116" xfId="0" applyFont="1" applyBorder="1" applyAlignment="1">
      <alignment vertical="center"/>
    </xf>
    <xf numFmtId="0" fontId="24" fillId="0" borderId="118" xfId="0" applyFont="1" applyBorder="1" applyAlignment="1">
      <alignment horizontal="center" vertical="center" wrapText="1"/>
    </xf>
    <xf numFmtId="0" fontId="24" fillId="0" borderId="10" xfId="0" applyFont="1" applyBorder="1" applyAlignment="1">
      <alignment horizontal="center" vertical="center" wrapText="1"/>
    </xf>
    <xf numFmtId="0" fontId="26" fillId="0" borderId="10" xfId="0" applyFont="1" applyBorder="1" applyAlignment="1">
      <alignment vertical="center" wrapText="1"/>
    </xf>
    <xf numFmtId="0" fontId="20" fillId="0" borderId="40" xfId="0" applyFont="1" applyBorder="1" applyAlignment="1">
      <alignment horizontal="center" vertical="top" shrinkToFit="1"/>
    </xf>
    <xf numFmtId="0" fontId="19" fillId="0" borderId="56" xfId="0" applyFont="1" applyBorder="1" applyAlignment="1">
      <alignment vertical="top"/>
    </xf>
    <xf numFmtId="0" fontId="20" fillId="0" borderId="56" xfId="0" applyFont="1" applyBorder="1" applyAlignment="1">
      <alignment horizontal="left" vertical="top" wrapText="1"/>
    </xf>
    <xf numFmtId="0" fontId="19" fillId="0" borderId="56" xfId="0" applyFont="1" applyBorder="1" applyAlignment="1">
      <alignment vertical="top" wrapText="1"/>
    </xf>
    <xf numFmtId="0" fontId="19" fillId="0" borderId="6" xfId="0" applyFont="1" applyBorder="1" applyAlignment="1">
      <alignment vertical="top" wrapText="1"/>
    </xf>
    <xf numFmtId="0" fontId="32" fillId="0" borderId="45" xfId="0" applyFont="1" applyFill="1" applyBorder="1" applyAlignment="1">
      <alignment horizontal="center" vertical="center" wrapText="1"/>
    </xf>
    <xf numFmtId="0" fontId="32" fillId="0" borderId="25" xfId="0" applyFont="1" applyFill="1" applyBorder="1" applyAlignment="1">
      <alignment horizontal="center" vertical="center" wrapText="1"/>
    </xf>
    <xf numFmtId="0" fontId="20" fillId="0" borderId="50" xfId="0" applyFont="1" applyBorder="1" applyAlignment="1">
      <alignment horizontal="center"/>
    </xf>
    <xf numFmtId="0" fontId="20" fillId="0" borderId="57" xfId="0" applyFont="1" applyBorder="1" applyAlignment="1">
      <alignment horizontal="center"/>
    </xf>
    <xf numFmtId="0" fontId="32" fillId="3" borderId="6" xfId="0" applyFont="1" applyFill="1" applyBorder="1" applyAlignment="1">
      <alignment horizontal="center" vertical="center" wrapText="1"/>
    </xf>
    <xf numFmtId="0" fontId="32" fillId="3" borderId="73" xfId="0" applyFont="1" applyFill="1" applyBorder="1" applyAlignment="1">
      <alignment horizontal="center" vertical="center" wrapText="1"/>
    </xf>
    <xf numFmtId="0" fontId="32" fillId="3" borderId="45" xfId="0" applyFont="1" applyFill="1" applyBorder="1"/>
    <xf numFmtId="0" fontId="32" fillId="3" borderId="25" xfId="0" applyFont="1" applyFill="1" applyBorder="1"/>
    <xf numFmtId="0" fontId="35" fillId="0" borderId="0" xfId="0" applyFont="1" applyAlignment="1">
      <alignment horizontal="left" vertical="center" shrinkToFit="1"/>
    </xf>
    <xf numFmtId="0" fontId="44" fillId="3" borderId="34" xfId="0" applyFont="1" applyFill="1" applyBorder="1" applyAlignment="1" applyProtection="1">
      <alignment horizontal="center" vertical="center" wrapText="1"/>
      <protection hidden="1"/>
    </xf>
    <xf numFmtId="0" fontId="44" fillId="3" borderId="33" xfId="0" applyFont="1" applyFill="1" applyBorder="1" applyAlignment="1" applyProtection="1">
      <alignment horizontal="center" vertical="center" wrapText="1"/>
      <protection hidden="1"/>
    </xf>
    <xf numFmtId="0" fontId="45" fillId="0" borderId="30" xfId="0" applyFont="1" applyBorder="1" applyAlignment="1" applyProtection="1">
      <alignment horizontal="center" vertical="center" wrapText="1"/>
      <protection hidden="1"/>
    </xf>
    <xf numFmtId="0" fontId="44" fillId="3" borderId="80" xfId="0" applyFont="1" applyFill="1" applyBorder="1" applyAlignment="1" applyProtection="1">
      <alignment horizontal="center" vertical="center" wrapText="1"/>
      <protection hidden="1"/>
    </xf>
    <xf numFmtId="0" fontId="44" fillId="3" borderId="32" xfId="0" applyFont="1" applyFill="1" applyBorder="1" applyAlignment="1" applyProtection="1">
      <alignment horizontal="center" vertical="center" wrapText="1"/>
      <protection hidden="1"/>
    </xf>
    <xf numFmtId="0" fontId="45" fillId="0" borderId="28" xfId="0" applyFont="1" applyBorder="1" applyAlignment="1" applyProtection="1">
      <alignment horizontal="center" vertical="center" wrapText="1"/>
      <protection hidden="1"/>
    </xf>
    <xf numFmtId="0" fontId="32" fillId="3" borderId="27" xfId="0" applyFont="1" applyFill="1" applyBorder="1"/>
    <xf numFmtId="0" fontId="32" fillId="3" borderId="26" xfId="0" applyFont="1" applyFill="1" applyBorder="1"/>
    <xf numFmtId="0" fontId="20" fillId="0" borderId="26" xfId="0" applyFont="1" applyBorder="1" applyAlignment="1">
      <alignment horizontal="left" vertical="center" shrinkToFit="1"/>
    </xf>
    <xf numFmtId="0" fontId="20" fillId="0" borderId="21" xfId="0" applyFont="1" applyBorder="1" applyAlignment="1">
      <alignment horizontal="left" vertical="center" shrinkToFit="1"/>
    </xf>
    <xf numFmtId="0" fontId="20" fillId="0" borderId="25" xfId="0" applyFont="1" applyBorder="1" applyAlignment="1">
      <alignment horizontal="left" vertical="center" shrinkToFit="1"/>
    </xf>
    <xf numFmtId="0" fontId="28" fillId="0" borderId="34" xfId="0" applyFont="1" applyBorder="1" applyAlignment="1" applyProtection="1">
      <alignment horizontal="left" vertical="center" shrinkToFit="1"/>
    </xf>
    <xf numFmtId="0" fontId="28" fillId="0" borderId="33" xfId="0" applyFont="1" applyBorder="1" applyAlignment="1" applyProtection="1">
      <alignment horizontal="left" vertical="center" shrinkToFit="1"/>
    </xf>
    <xf numFmtId="0" fontId="28" fillId="0" borderId="44" xfId="0" applyFont="1" applyBorder="1" applyAlignment="1">
      <alignment horizontal="center"/>
    </xf>
    <xf numFmtId="0" fontId="28" fillId="0" borderId="51" xfId="0" applyFont="1" applyBorder="1" applyAlignment="1">
      <alignment horizontal="center"/>
    </xf>
    <xf numFmtId="0" fontId="41" fillId="8" borderId="19" xfId="0" applyFont="1" applyFill="1" applyBorder="1"/>
    <xf numFmtId="0" fontId="41" fillId="8" borderId="73" xfId="0" applyFont="1" applyFill="1" applyBorder="1"/>
    <xf numFmtId="0" fontId="32" fillId="0" borderId="27" xfId="0" applyFont="1" applyFill="1" applyBorder="1" applyAlignment="1">
      <alignment horizontal="center" vertical="center" wrapText="1"/>
    </xf>
    <xf numFmtId="0" fontId="32" fillId="0" borderId="26" xfId="0" applyFont="1" applyFill="1" applyBorder="1" applyAlignment="1">
      <alignment horizontal="center" vertical="center" wrapText="1"/>
    </xf>
    <xf numFmtId="0" fontId="20" fillId="0" borderId="44" xfId="0" applyFont="1" applyBorder="1" applyAlignment="1">
      <alignment horizontal="center"/>
    </xf>
    <xf numFmtId="0" fontId="20" fillId="0" borderId="51" xfId="0" applyFont="1" applyBorder="1" applyAlignment="1">
      <alignment horizontal="center"/>
    </xf>
    <xf numFmtId="0" fontId="19" fillId="0" borderId="80" xfId="0" applyFont="1" applyBorder="1" applyAlignment="1" applyProtection="1">
      <alignment horizontal="center" vertical="center"/>
      <protection locked="0"/>
    </xf>
    <xf numFmtId="0" fontId="19" fillId="0" borderId="32" xfId="0" applyFont="1" applyBorder="1" applyAlignment="1" applyProtection="1">
      <alignment horizontal="center" vertical="center"/>
      <protection locked="0"/>
    </xf>
    <xf numFmtId="0" fontId="19" fillId="0" borderId="121" xfId="0" applyFont="1" applyBorder="1" applyAlignment="1" applyProtection="1">
      <alignment horizontal="center" vertical="center"/>
      <protection locked="0"/>
    </xf>
    <xf numFmtId="0" fontId="28" fillId="0" borderId="41" xfId="0" applyFont="1" applyBorder="1" applyAlignment="1">
      <alignment horizontal="center"/>
    </xf>
    <xf numFmtId="0" fontId="28" fillId="0" borderId="8" xfId="0" applyFont="1" applyBorder="1" applyAlignment="1">
      <alignment horizontal="center"/>
    </xf>
    <xf numFmtId="0" fontId="20" fillId="0" borderId="45" xfId="0" applyFont="1" applyBorder="1" applyAlignment="1">
      <alignment horizontal="left" vertical="center" shrinkToFit="1"/>
    </xf>
    <xf numFmtId="0" fontId="20" fillId="0" borderId="55" xfId="0" applyFont="1" applyBorder="1" applyAlignment="1">
      <alignment horizontal="left" vertical="center" shrinkToFit="1"/>
    </xf>
    <xf numFmtId="0" fontId="20" fillId="0" borderId="54" xfId="0" applyFont="1" applyBorder="1" applyAlignment="1">
      <alignment horizontal="left" vertical="center" shrinkToFit="1"/>
    </xf>
    <xf numFmtId="0" fontId="20" fillId="0" borderId="65" xfId="0" applyFont="1" applyBorder="1" applyAlignment="1">
      <alignment horizontal="left" vertical="center" shrinkToFit="1"/>
    </xf>
    <xf numFmtId="0" fontId="28" fillId="0" borderId="145" xfId="0" applyFont="1" applyBorder="1" applyAlignment="1">
      <alignment horizontal="center"/>
    </xf>
    <xf numFmtId="0" fontId="28" fillId="0" borderId="53" xfId="0" applyFont="1" applyBorder="1" applyAlignment="1">
      <alignment horizontal="center"/>
    </xf>
    <xf numFmtId="0" fontId="20" fillId="0" borderId="23" xfId="0" applyFont="1" applyBorder="1" applyAlignment="1">
      <alignment horizontal="left" vertical="center" shrinkToFit="1"/>
    </xf>
    <xf numFmtId="0" fontId="19" fillId="0" borderId="33" xfId="0" applyFont="1" applyBorder="1" applyAlignment="1">
      <alignment horizontal="left" vertical="center" shrinkToFit="1"/>
    </xf>
    <xf numFmtId="0" fontId="19" fillId="0" borderId="30" xfId="0" applyFont="1" applyBorder="1" applyAlignment="1">
      <alignment horizontal="left" vertical="center" shrinkToFit="1"/>
    </xf>
    <xf numFmtId="0" fontId="28" fillId="0" borderId="16" xfId="0" applyFont="1" applyBorder="1" applyAlignment="1">
      <alignment horizontal="right" vertical="center" shrinkToFit="1"/>
    </xf>
    <xf numFmtId="0" fontId="28" fillId="0" borderId="0" xfId="0" applyFont="1" applyBorder="1" applyAlignment="1">
      <alignment horizontal="right" vertical="center" shrinkToFit="1"/>
    </xf>
    <xf numFmtId="0" fontId="20" fillId="0" borderId="146" xfId="0" applyFont="1" applyBorder="1" applyAlignment="1" applyProtection="1">
      <alignment horizontal="left" vertical="center" wrapText="1"/>
      <protection locked="0"/>
    </xf>
    <xf numFmtId="0" fontId="24" fillId="0" borderId="33" xfId="0" applyFont="1" applyBorder="1" applyAlignment="1">
      <alignment horizontal="left"/>
    </xf>
    <xf numFmtId="0" fontId="31" fillId="0" borderId="0" xfId="0" applyFont="1" applyAlignment="1">
      <alignment horizontal="left" wrapText="1"/>
    </xf>
    <xf numFmtId="0" fontId="4" fillId="0" borderId="149" xfId="0" applyFont="1" applyBorder="1" applyAlignment="1" applyProtection="1">
      <alignment horizontal="left" vertical="center" wrapText="1"/>
      <protection locked="0"/>
    </xf>
    <xf numFmtId="0" fontId="20" fillId="0" borderId="149" xfId="0" applyFont="1" applyBorder="1" applyAlignment="1" applyProtection="1">
      <alignment horizontal="left" vertical="center" wrapText="1"/>
      <protection locked="0"/>
    </xf>
    <xf numFmtId="0" fontId="49" fillId="0" borderId="149" xfId="0" applyFont="1" applyBorder="1" applyAlignment="1" applyProtection="1">
      <alignment horizontal="left" vertical="center" wrapText="1"/>
      <protection locked="0"/>
    </xf>
    <xf numFmtId="0" fontId="24" fillId="0" borderId="81" xfId="0" applyFont="1" applyBorder="1" applyProtection="1">
      <protection locked="0"/>
    </xf>
    <xf numFmtId="0" fontId="32" fillId="0" borderId="111" xfId="0" applyFont="1" applyBorder="1" applyAlignment="1" applyProtection="1">
      <alignment horizontal="center" vertical="center"/>
    </xf>
    <xf numFmtId="0" fontId="32" fillId="0" borderId="130" xfId="0" applyFont="1" applyBorder="1" applyAlignment="1" applyProtection="1">
      <alignment horizontal="center" vertical="center"/>
    </xf>
    <xf numFmtId="0" fontId="32" fillId="0" borderId="148" xfId="0" applyFont="1" applyBorder="1" applyAlignment="1" applyProtection="1">
      <alignment horizontal="center" vertical="center"/>
    </xf>
    <xf numFmtId="0" fontId="19" fillId="0" borderId="146" xfId="0" applyFont="1" applyBorder="1" applyAlignment="1" applyProtection="1">
      <alignment horizontal="left" vertical="center" wrapText="1"/>
      <protection locked="0"/>
    </xf>
    <xf numFmtId="0" fontId="28" fillId="0" borderId="149" xfId="0" applyFont="1" applyBorder="1" applyAlignment="1" applyProtection="1">
      <alignment horizontal="justify" vertical="top" wrapText="1"/>
    </xf>
    <xf numFmtId="0" fontId="19" fillId="0" borderId="149" xfId="0" applyFont="1" applyBorder="1" applyAlignment="1" applyProtection="1">
      <alignment horizontal="left" vertical="center" wrapText="1"/>
      <protection locked="0"/>
    </xf>
    <xf numFmtId="0" fontId="28" fillId="0" borderId="34" xfId="0" applyFont="1" applyBorder="1" applyAlignment="1" applyProtection="1">
      <alignment horizontal="center" vertical="center" wrapText="1"/>
    </xf>
    <xf numFmtId="0" fontId="28" fillId="0" borderId="140" xfId="0" applyFont="1" applyBorder="1" applyAlignment="1" applyProtection="1">
      <alignment horizontal="center" vertical="center" wrapText="1"/>
    </xf>
    <xf numFmtId="0" fontId="28" fillId="0" borderId="80" xfId="0" applyFont="1" applyBorder="1" applyAlignment="1" applyProtection="1">
      <alignment horizontal="center" vertical="center" wrapText="1"/>
    </xf>
    <xf numFmtId="0" fontId="28" fillId="0" borderId="121" xfId="0" applyFont="1" applyBorder="1" applyAlignment="1" applyProtection="1">
      <alignment horizontal="center" vertical="center" wrapText="1"/>
    </xf>
    <xf numFmtId="0" fontId="24" fillId="0" borderId="0" xfId="0" applyFont="1" applyBorder="1" applyAlignment="1" applyProtection="1">
      <alignment horizontal="center" vertical="center" wrapText="1"/>
      <protection locked="0"/>
    </xf>
    <xf numFmtId="0" fontId="24" fillId="0" borderId="149" xfId="0" applyFont="1" applyBorder="1" applyAlignment="1" applyProtection="1">
      <alignment horizontal="center" vertical="center" wrapText="1"/>
      <protection locked="0"/>
    </xf>
    <xf numFmtId="0" fontId="34" fillId="0" borderId="55" xfId="0" applyFont="1" applyBorder="1" applyAlignment="1" applyProtection="1">
      <alignment horizontal="left" vertical="center" wrapText="1"/>
      <protection locked="0"/>
    </xf>
    <xf numFmtId="0" fontId="34" fillId="0" borderId="54" xfId="0" applyFont="1" applyBorder="1" applyAlignment="1" applyProtection="1">
      <alignment horizontal="left" vertical="center" wrapText="1"/>
      <protection locked="0"/>
    </xf>
    <xf numFmtId="0" fontId="34" fillId="0" borderId="13" xfId="0" quotePrefix="1" applyFont="1" applyBorder="1" applyAlignment="1" applyProtection="1">
      <alignment horizontal="left" vertical="center" wrapText="1"/>
      <protection locked="0"/>
    </xf>
    <xf numFmtId="0" fontId="34" fillId="0" borderId="13" xfId="0" applyFont="1" applyBorder="1" applyAlignment="1" applyProtection="1">
      <alignment horizontal="left" vertical="center" wrapText="1"/>
      <protection locked="0"/>
    </xf>
    <xf numFmtId="0" fontId="34" fillId="0" borderId="17" xfId="0" applyFont="1" applyBorder="1" applyAlignment="1" applyProtection="1">
      <alignment horizontal="left" vertical="center" wrapText="1"/>
      <protection locked="0"/>
    </xf>
    <xf numFmtId="0" fontId="20" fillId="0" borderId="16" xfId="0" applyFont="1" applyBorder="1" applyAlignment="1">
      <alignment horizontal="right" vertical="center" shrinkToFit="1"/>
    </xf>
    <xf numFmtId="0" fontId="20" fillId="0" borderId="0" xfId="0" applyFont="1" applyBorder="1" applyAlignment="1">
      <alignment horizontal="right" vertical="center" shrinkToFit="1"/>
    </xf>
    <xf numFmtId="0" fontId="3" fillId="0" borderId="146" xfId="1" applyBorder="1" applyAlignment="1" applyProtection="1">
      <alignment horizontal="left" vertical="center" shrinkToFit="1"/>
      <protection locked="0"/>
    </xf>
    <xf numFmtId="0" fontId="46" fillId="0" borderId="150" xfId="0" applyFont="1" applyBorder="1" applyAlignment="1">
      <alignment horizontal="left" vertical="center"/>
    </xf>
    <xf numFmtId="0" fontId="34" fillId="0" borderId="91" xfId="0" applyFont="1" applyBorder="1" applyAlignment="1" applyProtection="1">
      <alignment horizontal="left" vertical="center" wrapText="1"/>
      <protection locked="0"/>
    </xf>
    <xf numFmtId="0" fontId="34" fillId="0" borderId="19" xfId="0" applyFont="1" applyBorder="1" applyAlignment="1" applyProtection="1">
      <alignment horizontal="left" vertical="center" wrapText="1"/>
      <protection locked="0"/>
    </xf>
    <xf numFmtId="0" fontId="32" fillId="0" borderId="114" xfId="0" applyNumberFormat="1" applyFont="1" applyBorder="1" applyAlignment="1" applyProtection="1">
      <alignment horizontal="center" vertical="center"/>
    </xf>
    <xf numFmtId="0" fontId="32" fillId="0" borderId="33" xfId="0" applyNumberFormat="1" applyFont="1" applyBorder="1" applyAlignment="1" applyProtection="1">
      <alignment horizontal="center" vertical="center"/>
    </xf>
    <xf numFmtId="0" fontId="34" fillId="0" borderId="73" xfId="0" applyFont="1" applyBorder="1" applyAlignment="1" applyProtection="1">
      <alignment horizontal="left" vertical="center" wrapText="1"/>
      <protection locked="0"/>
    </xf>
    <xf numFmtId="0" fontId="35" fillId="0" borderId="32" xfId="0" applyFont="1" applyBorder="1" applyAlignment="1">
      <alignment horizontal="right" vertical="top" shrinkToFit="1"/>
    </xf>
    <xf numFmtId="0" fontId="19" fillId="0" borderId="32" xfId="0" applyFont="1" applyBorder="1" applyAlignment="1">
      <alignment horizontal="right" vertical="top" shrinkToFit="1"/>
    </xf>
    <xf numFmtId="0" fontId="19" fillId="0" borderId="28" xfId="0" applyFont="1" applyBorder="1" applyAlignment="1">
      <alignment horizontal="right" vertical="top" shrinkToFit="1"/>
    </xf>
    <xf numFmtId="0" fontId="24" fillId="0" borderId="33" xfId="0" applyFont="1" applyBorder="1"/>
    <xf numFmtId="0" fontId="28" fillId="0" borderId="16" xfId="0" applyFont="1" applyBorder="1" applyAlignment="1">
      <alignment vertical="center" shrinkToFit="1"/>
    </xf>
    <xf numFmtId="0" fontId="28" fillId="0" borderId="0" xfId="0" applyFont="1" applyBorder="1" applyAlignment="1">
      <alignment vertical="center" shrinkToFit="1"/>
    </xf>
    <xf numFmtId="0" fontId="39" fillId="0" borderId="45" xfId="0" applyFont="1" applyBorder="1" applyAlignment="1" applyProtection="1">
      <alignment horizontal="center" wrapText="1"/>
    </xf>
    <xf numFmtId="0" fontId="35" fillId="0" borderId="21" xfId="0" applyFont="1" applyBorder="1" applyAlignment="1" applyProtection="1">
      <alignment horizontal="center" wrapText="1"/>
    </xf>
    <xf numFmtId="0" fontId="35" fillId="0" borderId="51" xfId="0" applyFont="1" applyBorder="1" applyAlignment="1" applyProtection="1">
      <alignment horizontal="center" wrapText="1"/>
    </xf>
    <xf numFmtId="0" fontId="39" fillId="0" borderId="27" xfId="0" applyFont="1" applyBorder="1" applyAlignment="1" applyProtection="1">
      <alignment horizontal="center" wrapText="1"/>
    </xf>
    <xf numFmtId="0" fontId="35" fillId="0" borderId="31" xfId="0" applyFont="1" applyBorder="1" applyAlignment="1" applyProtection="1">
      <alignment horizontal="center" wrapText="1"/>
    </xf>
    <xf numFmtId="0" fontId="35" fillId="0" borderId="6" xfId="0" applyFont="1" applyBorder="1" applyAlignment="1" applyProtection="1">
      <alignment horizontal="center" wrapText="1"/>
    </xf>
    <xf numFmtId="0" fontId="39" fillId="0" borderId="24" xfId="0" applyFont="1" applyBorder="1" applyAlignment="1" applyProtection="1">
      <alignment horizontal="center" wrapText="1"/>
    </xf>
    <xf numFmtId="0" fontId="35" fillId="0" borderId="0" xfId="0" applyFont="1" applyBorder="1" applyAlignment="1" applyProtection="1">
      <alignment horizontal="center" wrapText="1"/>
    </xf>
    <xf numFmtId="0" fontId="35" fillId="0" borderId="7" xfId="0" applyFont="1" applyBorder="1" applyAlignment="1" applyProtection="1">
      <alignment horizontal="center" wrapText="1"/>
    </xf>
    <xf numFmtId="0" fontId="39" fillId="0" borderId="57" xfId="0" applyFont="1" applyBorder="1" applyAlignment="1" applyProtection="1">
      <alignment horizontal="center" wrapText="1"/>
    </xf>
    <xf numFmtId="0" fontId="35" fillId="0" borderId="38" xfId="0" applyFont="1" applyBorder="1" applyAlignment="1" applyProtection="1">
      <alignment horizontal="center" wrapText="1"/>
    </xf>
    <xf numFmtId="0" fontId="35" fillId="0" borderId="8" xfId="0" applyFont="1" applyBorder="1" applyAlignment="1" applyProtection="1">
      <alignment horizontal="center" wrapText="1"/>
    </xf>
    <xf numFmtId="0" fontId="35" fillId="0" borderId="55" xfId="0" applyFont="1" applyBorder="1" applyAlignment="1" applyProtection="1">
      <alignment horizontal="right" vertical="center" wrapText="1"/>
    </xf>
    <xf numFmtId="0" fontId="35" fillId="0" borderId="65" xfId="0" applyFont="1" applyBorder="1" applyAlignment="1" applyProtection="1">
      <alignment horizontal="right" vertical="center" wrapText="1"/>
    </xf>
    <xf numFmtId="0" fontId="24" fillId="0" borderId="32" xfId="0" applyFont="1" applyBorder="1" applyAlignment="1">
      <alignment horizontal="left" vertical="center" shrinkToFit="1"/>
    </xf>
    <xf numFmtId="0" fontId="41" fillId="2" borderId="19" xfId="0" applyFont="1" applyFill="1" applyBorder="1" applyAlignment="1">
      <alignment horizontal="left" vertical="center" wrapText="1"/>
    </xf>
    <xf numFmtId="0" fontId="41" fillId="2" borderId="73" xfId="0" applyFont="1" applyFill="1" applyBorder="1" applyAlignment="1">
      <alignment horizontal="left" vertical="center" wrapText="1"/>
    </xf>
    <xf numFmtId="0" fontId="19" fillId="0" borderId="91" xfId="0" applyFont="1" applyBorder="1" applyAlignment="1">
      <alignment horizontal="center" vertical="center" shrinkToFit="1"/>
    </xf>
    <xf numFmtId="0" fontId="19" fillId="0" borderId="19" xfId="0" applyFont="1" applyBorder="1" applyAlignment="1">
      <alignment horizontal="center" vertical="center" shrinkToFit="1"/>
    </xf>
    <xf numFmtId="0" fontId="19" fillId="0" borderId="147" xfId="0" applyFont="1" applyBorder="1" applyAlignment="1">
      <alignment horizontal="center" vertical="center" shrinkToFit="1"/>
    </xf>
    <xf numFmtId="0" fontId="39" fillId="0" borderId="35" xfId="0" applyFont="1" applyBorder="1" applyAlignment="1" applyProtection="1">
      <alignment horizontal="center" vertical="center" textRotation="255" wrapText="1"/>
    </xf>
    <xf numFmtId="0" fontId="35" fillId="0" borderId="42" xfId="0" applyFont="1" applyBorder="1" applyAlignment="1" applyProtection="1">
      <alignment horizontal="center" vertical="center" textRotation="255" wrapText="1"/>
    </xf>
    <xf numFmtId="0" fontId="35" fillId="0" borderId="56" xfId="0" applyFont="1" applyBorder="1" applyAlignment="1" applyProtection="1">
      <alignment horizontal="center" vertical="center" textRotation="255" wrapText="1"/>
    </xf>
    <xf numFmtId="0" fontId="39" fillId="0" borderId="35" xfId="0" applyFont="1" applyBorder="1" applyAlignment="1" applyProtection="1">
      <alignment horizontal="center" wrapText="1"/>
    </xf>
    <xf numFmtId="0" fontId="35" fillId="0" borderId="42" xfId="0" applyFont="1" applyBorder="1" applyAlignment="1" applyProtection="1">
      <alignment horizontal="center" wrapText="1"/>
    </xf>
    <xf numFmtId="0" fontId="35" fillId="0" borderId="56" xfId="0" applyFont="1" applyBorder="1" applyAlignment="1" applyProtection="1">
      <alignment horizontal="center" wrapText="1"/>
    </xf>
    <xf numFmtId="0" fontId="35" fillId="0" borderId="45" xfId="0" applyFont="1" applyBorder="1" applyAlignment="1">
      <alignment horizontal="center" vertical="center" wrapText="1"/>
    </xf>
    <xf numFmtId="0" fontId="35" fillId="0" borderId="21" xfId="0" applyFont="1" applyBorder="1" applyAlignment="1">
      <alignment horizontal="center" vertical="center" wrapText="1"/>
    </xf>
    <xf numFmtId="0" fontId="35" fillId="0" borderId="25" xfId="0" applyFont="1" applyBorder="1" applyAlignment="1">
      <alignment horizontal="center" vertical="center" wrapText="1"/>
    </xf>
    <xf numFmtId="0" fontId="20" fillId="0" borderId="91" xfId="0" applyFont="1" applyBorder="1" applyAlignment="1">
      <alignment horizontal="center" vertical="center" shrinkToFit="1"/>
    </xf>
    <xf numFmtId="0" fontId="20" fillId="0" borderId="73" xfId="0" applyFont="1" applyBorder="1" applyAlignment="1">
      <alignment horizontal="center" vertical="center" shrinkToFit="1"/>
    </xf>
    <xf numFmtId="0" fontId="20" fillId="0" borderId="19" xfId="0" applyFont="1" applyBorder="1" applyAlignment="1">
      <alignment horizontal="center" vertical="center" shrinkToFit="1"/>
    </xf>
    <xf numFmtId="0" fontId="20" fillId="0" borderId="147" xfId="0" applyFont="1" applyBorder="1" applyAlignment="1">
      <alignment horizontal="center" vertical="center" shrinkToFit="1"/>
    </xf>
    <xf numFmtId="0" fontId="20" fillId="0" borderId="55" xfId="0" applyFont="1" applyBorder="1" applyAlignment="1" applyProtection="1">
      <alignment horizontal="left" vertical="center" wrapText="1"/>
      <protection locked="0"/>
    </xf>
    <xf numFmtId="0" fontId="42" fillId="0" borderId="54" xfId="0" applyFont="1" applyBorder="1" applyAlignment="1" applyProtection="1">
      <alignment horizontal="left" vertical="center"/>
      <protection locked="0"/>
    </xf>
    <xf numFmtId="0" fontId="42" fillId="0" borderId="53" xfId="0" applyFont="1" applyBorder="1" applyAlignment="1" applyProtection="1">
      <alignment horizontal="left" vertical="center"/>
      <protection locked="0"/>
    </xf>
    <xf numFmtId="0" fontId="27" fillId="0" borderId="39" xfId="0" applyFont="1" applyBorder="1" applyAlignment="1">
      <alignment horizontal="center" vertical="center" wrapText="1"/>
    </xf>
    <xf numFmtId="0" fontId="27" fillId="0" borderId="19" xfId="0" applyFont="1" applyBorder="1" applyAlignment="1">
      <alignment horizontal="center" vertical="center" wrapText="1"/>
    </xf>
    <xf numFmtId="0" fontId="28" fillId="0" borderId="16" xfId="0" applyFont="1" applyBorder="1" applyAlignment="1">
      <alignment shrinkToFit="1"/>
    </xf>
    <xf numFmtId="0" fontId="28" fillId="0" borderId="0" xfId="0" applyFont="1" applyBorder="1" applyAlignment="1">
      <alignment shrinkToFit="1"/>
    </xf>
    <xf numFmtId="0" fontId="28" fillId="0" borderId="22" xfId="0" applyFont="1" applyBorder="1" applyAlignment="1">
      <alignment shrinkToFit="1"/>
    </xf>
    <xf numFmtId="0" fontId="32" fillId="0" borderId="6" xfId="0" applyFont="1" applyFill="1" applyBorder="1" applyAlignment="1">
      <alignment horizontal="center" vertical="center" wrapText="1"/>
    </xf>
    <xf numFmtId="0" fontId="32" fillId="0" borderId="23" xfId="0" applyFont="1" applyFill="1" applyBorder="1" applyAlignment="1">
      <alignment horizontal="center" vertical="center" wrapText="1"/>
    </xf>
    <xf numFmtId="0" fontId="30" fillId="0" borderId="24" xfId="0" applyFont="1" applyBorder="1" applyAlignment="1"/>
    <xf numFmtId="0" fontId="30" fillId="0" borderId="26" xfId="0" applyFont="1" applyBorder="1" applyAlignment="1"/>
    <xf numFmtId="0" fontId="30" fillId="0" borderId="7" xfId="0" applyFont="1" applyBorder="1" applyAlignment="1"/>
    <xf numFmtId="0" fontId="30" fillId="0" borderId="23" xfId="0" applyFont="1" applyBorder="1" applyAlignment="1"/>
    <xf numFmtId="0" fontId="20" fillId="0" borderId="146" xfId="0" applyFont="1" applyBorder="1" applyProtection="1">
      <protection locked="0"/>
    </xf>
    <xf numFmtId="0" fontId="28" fillId="0" borderId="0" xfId="0" applyFont="1" applyBorder="1" applyAlignment="1" applyProtection="1">
      <alignment horizontal="left" shrinkToFit="1"/>
    </xf>
    <xf numFmtId="0" fontId="29" fillId="0" borderId="151" xfId="0" applyFont="1" applyFill="1" applyBorder="1" applyAlignment="1">
      <alignment horizontal="center" vertical="center"/>
    </xf>
    <xf numFmtId="0" fontId="29" fillId="0" borderId="152" xfId="0" applyFont="1" applyFill="1" applyBorder="1" applyAlignment="1">
      <alignment horizontal="center" vertical="center"/>
    </xf>
    <xf numFmtId="0" fontId="20" fillId="0" borderId="146" xfId="0" applyFont="1" applyBorder="1" applyAlignment="1" applyProtection="1">
      <alignment horizontal="left" vertical="center" shrinkToFit="1"/>
      <protection locked="0"/>
    </xf>
    <xf numFmtId="0" fontId="41" fillId="0" borderId="0" xfId="0" applyFont="1" applyAlignment="1">
      <alignment horizontal="left" vertical="center" shrinkToFit="1"/>
    </xf>
    <xf numFmtId="0" fontId="41" fillId="2" borderId="19" xfId="0" applyFont="1" applyFill="1" applyBorder="1" applyAlignment="1"/>
    <xf numFmtId="0" fontId="41" fillId="2" borderId="73" xfId="0" applyFont="1" applyFill="1" applyBorder="1" applyAlignment="1"/>
    <xf numFmtId="0" fontId="28" fillId="0" borderId="0" xfId="0" applyFont="1" applyBorder="1" applyAlignment="1" applyProtection="1">
      <alignment horizontal="left" vertical="center" shrinkToFit="1"/>
    </xf>
    <xf numFmtId="0" fontId="10" fillId="0" borderId="0" xfId="0" applyFont="1" applyFill="1" applyAlignment="1">
      <alignment horizontal="left" vertical="center" shrinkToFit="1"/>
    </xf>
    <xf numFmtId="0" fontId="35" fillId="0" borderId="0" xfId="0" applyFont="1" applyFill="1" applyAlignment="1">
      <alignment horizontal="left" vertical="center" shrinkToFit="1"/>
    </xf>
    <xf numFmtId="0" fontId="28" fillId="0" borderId="146" xfId="0" applyFont="1" applyBorder="1" applyAlignment="1" applyProtection="1">
      <alignment horizontal="left" vertical="center" wrapText="1"/>
      <protection locked="0"/>
    </xf>
    <xf numFmtId="0" fontId="28" fillId="0" borderId="0" xfId="0" applyFont="1" applyAlignment="1" applyProtection="1">
      <alignment vertical="center" shrinkToFit="1"/>
    </xf>
    <xf numFmtId="0" fontId="19" fillId="0" borderId="0" xfId="0" applyFont="1" applyAlignment="1">
      <alignment shrinkToFit="1"/>
    </xf>
    <xf numFmtId="0" fontId="28" fillId="0" borderId="50" xfId="0" applyFont="1" applyBorder="1" applyAlignment="1">
      <alignment horizontal="center" vertical="center"/>
    </xf>
    <xf numFmtId="0" fontId="43" fillId="0" borderId="57" xfId="0" applyFont="1" applyBorder="1" applyAlignment="1">
      <alignment vertical="center"/>
    </xf>
    <xf numFmtId="0" fontId="43" fillId="0" borderId="41" xfId="0" applyFont="1" applyBorder="1" applyAlignment="1">
      <alignment vertical="center"/>
    </xf>
    <xf numFmtId="0" fontId="43" fillId="0" borderId="8" xfId="0" applyFont="1" applyBorder="1" applyAlignment="1">
      <alignment vertical="center"/>
    </xf>
    <xf numFmtId="0" fontId="47" fillId="3" borderId="50" xfId="0" applyFont="1" applyFill="1" applyBorder="1" applyAlignment="1">
      <alignment horizontal="left" vertical="center" wrapText="1"/>
    </xf>
    <xf numFmtId="0" fontId="48" fillId="0" borderId="24" xfId="0" applyFont="1" applyBorder="1"/>
    <xf numFmtId="0" fontId="48" fillId="0" borderId="26" xfId="0" applyFont="1" applyBorder="1"/>
    <xf numFmtId="0" fontId="48" fillId="0" borderId="41" xfId="0" applyFont="1" applyBorder="1"/>
    <xf numFmtId="0" fontId="48" fillId="0" borderId="7" xfId="0" applyFont="1" applyBorder="1"/>
    <xf numFmtId="0" fontId="48" fillId="0" borderId="23" xfId="0" applyFont="1" applyBorder="1"/>
    <xf numFmtId="0" fontId="29" fillId="3" borderId="45" xfId="0" applyFont="1" applyFill="1" applyBorder="1" applyAlignment="1">
      <alignment horizontal="center" vertical="center"/>
    </xf>
    <xf numFmtId="0" fontId="29" fillId="3" borderId="25" xfId="0" applyFont="1" applyFill="1" applyBorder="1" applyAlignment="1">
      <alignment horizontal="center" vertical="center"/>
    </xf>
    <xf numFmtId="0" fontId="35" fillId="0" borderId="91" xfId="0" applyFont="1" applyFill="1" applyBorder="1" applyAlignment="1">
      <alignment horizontal="center" vertical="center" shrinkToFit="1"/>
    </xf>
    <xf numFmtId="0" fontId="30" fillId="0" borderId="19" xfId="0" applyFont="1" applyBorder="1" applyAlignment="1">
      <alignment horizontal="center" vertical="center" shrinkToFit="1"/>
    </xf>
    <xf numFmtId="0" fontId="27" fillId="0" borderId="39" xfId="0" applyFont="1" applyFill="1" applyBorder="1" applyAlignment="1">
      <alignment horizontal="center" wrapText="1"/>
    </xf>
    <xf numFmtId="0" fontId="27" fillId="0" borderId="19" xfId="0" applyFont="1" applyFill="1" applyBorder="1" applyAlignment="1">
      <alignment horizontal="center" wrapText="1"/>
    </xf>
    <xf numFmtId="0" fontId="27" fillId="0" borderId="73" xfId="0" applyFont="1" applyFill="1" applyBorder="1" applyAlignment="1">
      <alignment horizontal="center" wrapText="1"/>
    </xf>
    <xf numFmtId="0" fontId="37" fillId="0" borderId="27" xfId="0" applyFont="1" applyBorder="1" applyAlignment="1">
      <alignment horizontal="center" vertical="center" shrinkToFit="1"/>
    </xf>
    <xf numFmtId="0" fontId="37" fillId="0" borderId="26" xfId="0" applyFont="1" applyBorder="1" applyAlignment="1">
      <alignment horizontal="center" vertical="center" shrinkToFit="1"/>
    </xf>
    <xf numFmtId="0" fontId="19" fillId="0" borderId="32" xfId="0" applyFont="1" applyBorder="1" applyAlignment="1">
      <alignment shrinkToFit="1"/>
    </xf>
    <xf numFmtId="0" fontId="20" fillId="0" borderId="32" xfId="0" applyFont="1" applyBorder="1"/>
    <xf numFmtId="0" fontId="28" fillId="0" borderId="80" xfId="0" applyFont="1" applyBorder="1" applyAlignment="1">
      <alignment horizontal="left" vertical="center" wrapText="1"/>
    </xf>
    <xf numFmtId="0" fontId="28" fillId="0" borderId="32" xfId="0" applyFont="1" applyBorder="1" applyAlignment="1">
      <alignment horizontal="left" vertical="center" wrapText="1"/>
    </xf>
    <xf numFmtId="0" fontId="43" fillId="0" borderId="32" xfId="0" applyFont="1" applyBorder="1" applyAlignment="1">
      <alignment wrapText="1"/>
    </xf>
    <xf numFmtId="0" fontId="43" fillId="0" borderId="28" xfId="0" applyFont="1" applyBorder="1" applyAlignment="1">
      <alignment wrapText="1"/>
    </xf>
    <xf numFmtId="0" fontId="20" fillId="0" borderId="39" xfId="0" applyFont="1" applyBorder="1" applyAlignment="1">
      <alignment horizontal="center" vertical="center" wrapText="1"/>
    </xf>
    <xf numFmtId="0" fontId="20" fillId="0" borderId="19" xfId="0" applyFont="1" applyBorder="1" applyAlignment="1">
      <alignment horizontal="center" vertical="center" wrapText="1"/>
    </xf>
    <xf numFmtId="0" fontId="20" fillId="0" borderId="147" xfId="0" applyFont="1" applyBorder="1" applyAlignment="1">
      <alignment horizontal="center" vertical="center" wrapText="1"/>
    </xf>
    <xf numFmtId="0" fontId="19" fillId="0" borderId="54" xfId="0" applyFont="1" applyBorder="1" applyAlignment="1" applyProtection="1">
      <alignment horizontal="center" vertical="center" wrapText="1"/>
      <protection locked="0"/>
    </xf>
    <xf numFmtId="0" fontId="19" fillId="0" borderId="53" xfId="0" applyFont="1" applyBorder="1" applyAlignment="1" applyProtection="1">
      <alignment horizontal="center" vertical="center" wrapText="1"/>
      <protection locked="0"/>
    </xf>
    <xf numFmtId="14" fontId="15" fillId="0" borderId="0" xfId="0" applyNumberFormat="1" applyFont="1" applyAlignment="1">
      <alignment horizontal="center" vertical="center"/>
    </xf>
    <xf numFmtId="0" fontId="15" fillId="0" borderId="0" xfId="0" applyFont="1" applyAlignment="1">
      <alignment horizontal="left" vertical="center"/>
    </xf>
  </cellXfs>
  <cellStyles count="2">
    <cellStyle name="常规" xfId="0" builtinId="0"/>
    <cellStyle name="超链接" xfId="1" builtinId="8"/>
  </cellStyles>
  <dxfs count="9">
    <dxf>
      <fill>
        <patternFill>
          <bgColor indexed="43"/>
        </patternFill>
      </fill>
    </dxf>
    <dxf>
      <fill>
        <patternFill>
          <bgColor rgb="FFFFFF99"/>
        </patternFill>
      </fill>
    </dxf>
    <dxf>
      <fill>
        <patternFill>
          <bgColor rgb="FFFFFF99"/>
        </patternFill>
      </fill>
    </dxf>
    <dxf>
      <fill>
        <patternFill patternType="none">
          <bgColor indexed="65"/>
        </patternFill>
      </fill>
    </dxf>
    <dxf>
      <fill>
        <patternFill>
          <bgColor indexed="47"/>
        </patternFill>
      </fill>
    </dxf>
    <dxf>
      <fill>
        <patternFill>
          <bgColor indexed="9"/>
        </patternFill>
      </fill>
    </dxf>
    <dxf>
      <fill>
        <patternFill>
          <bgColor indexed="47"/>
        </patternFill>
      </fill>
    </dxf>
    <dxf>
      <fill>
        <patternFill>
          <bgColor indexed="43"/>
        </patternFill>
      </fill>
    </dxf>
    <dxf>
      <fill>
        <patternFill>
          <bgColor indexed="4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Radio" checked="Checked" firstButton="1" fmlaLink="$U$17" lockText="1" noThreeD="1"/>
</file>

<file path=xl/ctrlProps/ctrlProp17.xml><?xml version="1.0" encoding="utf-8"?>
<formControlPr xmlns="http://schemas.microsoft.com/office/spreadsheetml/2009/9/main" objectType="Radio" lockText="1" noThreeD="1"/>
</file>

<file path=xl/ctrlProps/ctrlProp18.xml><?xml version="1.0" encoding="utf-8"?>
<formControlPr xmlns="http://schemas.microsoft.com/office/spreadsheetml/2009/9/main" objectType="GBox" noThreeD="1"/>
</file>

<file path=xl/ctrlProps/ctrlProp19.xml><?xml version="1.0" encoding="utf-8"?>
<formControlPr xmlns="http://schemas.microsoft.com/office/spreadsheetml/2009/9/main" objectType="Radio" checked="Checked" firstButton="1" fmlaLink="$U$19" lockText="1" noThreeD="1"/>
</file>

<file path=xl/ctrlProps/ctrlProp20.xml><?xml version="1.0" encoding="utf-8"?>
<formControlPr xmlns="http://schemas.microsoft.com/office/spreadsheetml/2009/9/main" objectType="Radio" lockText="1" noThreeD="1"/>
</file>

<file path=xl/ctrlProps/ctrlProp21.xml><?xml version="1.0" encoding="utf-8"?>
<formControlPr xmlns="http://schemas.microsoft.com/office/spreadsheetml/2009/9/main" objectType="GBox" noThreeD="1"/>
</file>

<file path=xl/ctrlProps/ctrlProp22.xml><?xml version="1.0" encoding="utf-8"?>
<formControlPr xmlns="http://schemas.microsoft.com/office/spreadsheetml/2009/9/main" objectType="Radio" checked="Checked" firstButton="1" fmlaLink="$U$20" lockText="1" noThreeD="1"/>
</file>

<file path=xl/ctrlProps/ctrlProp23.xml><?xml version="1.0" encoding="utf-8"?>
<formControlPr xmlns="http://schemas.microsoft.com/office/spreadsheetml/2009/9/main" objectType="Radio" lockText="1" noThreeD="1"/>
</file>

<file path=xl/ctrlProps/ctrlProp24.xml><?xml version="1.0" encoding="utf-8"?>
<formControlPr xmlns="http://schemas.microsoft.com/office/spreadsheetml/2009/9/main" objectType="GBox" noThreeD="1"/>
</file>

<file path=xl/ctrlProps/ctrlProp25.xml><?xml version="1.0" encoding="utf-8"?>
<formControlPr xmlns="http://schemas.microsoft.com/office/spreadsheetml/2009/9/main" objectType="Radio" checked="Checked" firstButton="1" fmlaLink="$U$21" lockText="1" noThreeD="1"/>
</file>

<file path=xl/ctrlProps/ctrlProp26.xml><?xml version="1.0" encoding="utf-8"?>
<formControlPr xmlns="http://schemas.microsoft.com/office/spreadsheetml/2009/9/main" objectType="Radio" lockText="1" noThreeD="1"/>
</file>

<file path=xl/ctrlProps/ctrlProp27.xml><?xml version="1.0" encoding="utf-8"?>
<formControlPr xmlns="http://schemas.microsoft.com/office/spreadsheetml/2009/9/main" objectType="GBox" noThreeD="1"/>
</file>

<file path=xl/ctrlProps/ctrlProp28.xml><?xml version="1.0" encoding="utf-8"?>
<formControlPr xmlns="http://schemas.microsoft.com/office/spreadsheetml/2009/9/main" objectType="Radio" checked="Checked" firstButton="1" fmlaLink="$U$22" lockText="1" noThreeD="1"/>
</file>

<file path=xl/ctrlProps/ctrlProp29.xml><?xml version="1.0" encoding="utf-8"?>
<formControlPr xmlns="http://schemas.microsoft.com/office/spreadsheetml/2009/9/main" objectType="Radio" lockText="1" noThreeD="1"/>
</file>

<file path=xl/ctrlProps/ctrlProp30.xml><?xml version="1.0" encoding="utf-8"?>
<formControlPr xmlns="http://schemas.microsoft.com/office/spreadsheetml/2009/9/main" objectType="GBox" noThreeD="1"/>
</file>

<file path=xl/ctrlProps/ctrlProp31.xml><?xml version="1.0" encoding="utf-8"?>
<formControlPr xmlns="http://schemas.microsoft.com/office/spreadsheetml/2009/9/main" objectType="Radio" checked="Checked" firstButton="1" fmlaLink="$U$23" lockText="1" noThreeD="1"/>
</file>

<file path=xl/ctrlProps/ctrlProp32.xml><?xml version="1.0" encoding="utf-8"?>
<formControlPr xmlns="http://schemas.microsoft.com/office/spreadsheetml/2009/9/main" objectType="Radio" lockText="1" noThreeD="1"/>
</file>

<file path=xl/ctrlProps/ctrlProp33.xml><?xml version="1.0" encoding="utf-8"?>
<formControlPr xmlns="http://schemas.microsoft.com/office/spreadsheetml/2009/9/main" objectType="GBox" noThreeD="1"/>
</file>

<file path=xl/ctrlProps/ctrlProp34.xml><?xml version="1.0" encoding="utf-8"?>
<formControlPr xmlns="http://schemas.microsoft.com/office/spreadsheetml/2009/9/main" objectType="Radio" checked="Checked" firstButton="1" fmlaLink="$U$24" lockText="1" noThreeD="1"/>
</file>

<file path=xl/ctrlProps/ctrlProp35.xml><?xml version="1.0" encoding="utf-8"?>
<formControlPr xmlns="http://schemas.microsoft.com/office/spreadsheetml/2009/9/main" objectType="Radio" lockText="1" noThreeD="1"/>
</file>

<file path=xl/ctrlProps/ctrlProp36.xml><?xml version="1.0" encoding="utf-8"?>
<formControlPr xmlns="http://schemas.microsoft.com/office/spreadsheetml/2009/9/main" objectType="GBox" noThreeD="1"/>
</file>

<file path=xl/ctrlProps/ctrlProp37.xml><?xml version="1.0" encoding="utf-8"?>
<formControlPr xmlns="http://schemas.microsoft.com/office/spreadsheetml/2009/9/main" objectType="Radio" checked="Checked" firstButton="1" fmlaLink="$U$25" lockText="1" noThreeD="1"/>
</file>

<file path=xl/ctrlProps/ctrlProp38.xml><?xml version="1.0" encoding="utf-8"?>
<formControlPr xmlns="http://schemas.microsoft.com/office/spreadsheetml/2009/9/main" objectType="Radio" lockText="1" noThreeD="1"/>
</file>

<file path=xl/ctrlProps/ctrlProp39.xml><?xml version="1.0" encoding="utf-8"?>
<formControlPr xmlns="http://schemas.microsoft.com/office/spreadsheetml/2009/9/main" objectType="GBox" noThreeD="1"/>
</file>

<file path=xl/ctrlProps/ctrlProp40.xml><?xml version="1.0" encoding="utf-8"?>
<formControlPr xmlns="http://schemas.microsoft.com/office/spreadsheetml/2009/9/main" objectType="Radio" checked="Checked" firstButton="1" fmlaLink="$U$26" lockText="1" noThreeD="1"/>
</file>

<file path=xl/ctrlProps/ctrlProp41.xml><?xml version="1.0" encoding="utf-8"?>
<formControlPr xmlns="http://schemas.microsoft.com/office/spreadsheetml/2009/9/main" objectType="Radio" lockText="1" noThreeD="1"/>
</file>

<file path=xl/ctrlProps/ctrlProp42.xml><?xml version="1.0" encoding="utf-8"?>
<formControlPr xmlns="http://schemas.microsoft.com/office/spreadsheetml/2009/9/main" objectType="GBox" noThreeD="1"/>
</file>

<file path=xl/ctrlProps/ctrlProp43.xml><?xml version="1.0" encoding="utf-8"?>
<formControlPr xmlns="http://schemas.microsoft.com/office/spreadsheetml/2009/9/main" objectType="Radio" checked="Checked" firstButton="1" fmlaLink="$U$28" lockText="1" noThreeD="1"/>
</file>

<file path=xl/ctrlProps/ctrlProp44.xml><?xml version="1.0" encoding="utf-8"?>
<formControlPr xmlns="http://schemas.microsoft.com/office/spreadsheetml/2009/9/main" objectType="Radio" lockText="1" noThreeD="1"/>
</file>

<file path=xl/ctrlProps/ctrlProp45.xml><?xml version="1.0" encoding="utf-8"?>
<formControlPr xmlns="http://schemas.microsoft.com/office/spreadsheetml/2009/9/main" objectType="GBox" noThreeD="1"/>
</file>

<file path=xl/ctrlProps/ctrlProp46.xml><?xml version="1.0" encoding="utf-8"?>
<formControlPr xmlns="http://schemas.microsoft.com/office/spreadsheetml/2009/9/main" objectType="Radio" checked="Checked" firstButton="1" fmlaLink="$U$29" lockText="1" noThreeD="1"/>
</file>

<file path=xl/ctrlProps/ctrlProp47.xml><?xml version="1.0" encoding="utf-8"?>
<formControlPr xmlns="http://schemas.microsoft.com/office/spreadsheetml/2009/9/main" objectType="Radio" lockText="1" noThreeD="1"/>
</file>

<file path=xl/ctrlProps/ctrlProp48.xml><?xml version="1.0" encoding="utf-8"?>
<formControlPr xmlns="http://schemas.microsoft.com/office/spreadsheetml/2009/9/main" objectType="GBox" noThreeD="1"/>
</file>

<file path=xl/ctrlProps/ctrlProp49.xml><?xml version="1.0" encoding="utf-8"?>
<formControlPr xmlns="http://schemas.microsoft.com/office/spreadsheetml/2009/9/main" objectType="Radio" checked="Checked" firstButton="1" fmlaLink="$U$30" lockText="1" noThreeD="1"/>
</file>

<file path=xl/ctrlProps/ctrlProp50.xml><?xml version="1.0" encoding="utf-8"?>
<formControlPr xmlns="http://schemas.microsoft.com/office/spreadsheetml/2009/9/main" objectType="Radio" lockText="1" noThreeD="1"/>
</file>

<file path=xl/ctrlProps/ctrlProp51.xml><?xml version="1.0" encoding="utf-8"?>
<formControlPr xmlns="http://schemas.microsoft.com/office/spreadsheetml/2009/9/main" objectType="GBox" noThreeD="1"/>
</file>

<file path=xl/ctrlProps/ctrlProp52.xml><?xml version="1.0" encoding="utf-8"?>
<formControlPr xmlns="http://schemas.microsoft.com/office/spreadsheetml/2009/9/main" objectType="Radio" checked="Checked" firstButton="1" fmlaLink="$U$31" lockText="1" noThreeD="1"/>
</file>

<file path=xl/ctrlProps/ctrlProp53.xml><?xml version="1.0" encoding="utf-8"?>
<formControlPr xmlns="http://schemas.microsoft.com/office/spreadsheetml/2009/9/main" objectType="Radio" lockText="1" noThreeD="1"/>
</file>

<file path=xl/ctrlProps/ctrlProp54.xml><?xml version="1.0" encoding="utf-8"?>
<formControlPr xmlns="http://schemas.microsoft.com/office/spreadsheetml/2009/9/main" objectType="GBox" noThreeD="1"/>
</file>

<file path=xl/ctrlProps/ctrlProp55.xml><?xml version="1.0" encoding="utf-8"?>
<formControlPr xmlns="http://schemas.microsoft.com/office/spreadsheetml/2009/9/main" objectType="Radio" checked="Checked" firstButton="1" fmlaLink="$U$32" lockText="1" noThreeD="1"/>
</file>

<file path=xl/ctrlProps/ctrlProp56.xml><?xml version="1.0" encoding="utf-8"?>
<formControlPr xmlns="http://schemas.microsoft.com/office/spreadsheetml/2009/9/main" objectType="Radio" lockText="1" noThreeD="1"/>
</file>

<file path=xl/ctrlProps/ctrlProp57.xml><?xml version="1.0" encoding="utf-8"?>
<formControlPr xmlns="http://schemas.microsoft.com/office/spreadsheetml/2009/9/main" objectType="Radio" lockText="1" noThreeD="1"/>
</file>

<file path=xl/ctrlProps/ctrlProp58.xml><?xml version="1.0" encoding="utf-8"?>
<formControlPr xmlns="http://schemas.microsoft.com/office/spreadsheetml/2009/9/main" objectType="GBox" noThreeD="1"/>
</file>

<file path=xl/ctrlProps/ctrlProp59.xml><?xml version="1.0" encoding="utf-8"?>
<formControlPr xmlns="http://schemas.microsoft.com/office/spreadsheetml/2009/9/main" objectType="Radio" checked="Checked" firstButton="1" fmlaLink="$U$33" lockText="1" noThreeD="1"/>
</file>

<file path=xl/ctrlProps/ctrlProp60.xml><?xml version="1.0" encoding="utf-8"?>
<formControlPr xmlns="http://schemas.microsoft.com/office/spreadsheetml/2009/9/main" objectType="Radio" lockText="1" noThreeD="1"/>
</file>

<file path=xl/ctrlProps/ctrlProp61.xml><?xml version="1.0" encoding="utf-8"?>
<formControlPr xmlns="http://schemas.microsoft.com/office/spreadsheetml/2009/9/main" objectType="GBox" noThreeD="1"/>
</file>

<file path=xl/ctrlProps/ctrlProp62.xml><?xml version="1.0" encoding="utf-8"?>
<formControlPr xmlns="http://schemas.microsoft.com/office/spreadsheetml/2009/9/main" objectType="Radio" checked="Checked" firstButton="1" fmlaLink="$U$36" lockText="1" noThreeD="1"/>
</file>

<file path=xl/ctrlProps/ctrlProp63.xml><?xml version="1.0" encoding="utf-8"?>
<formControlPr xmlns="http://schemas.microsoft.com/office/spreadsheetml/2009/9/main" objectType="Radio" lockText="1" noThreeD="1"/>
</file>

<file path=xl/ctrlProps/ctrlProp64.xml><?xml version="1.0" encoding="utf-8"?>
<formControlPr xmlns="http://schemas.microsoft.com/office/spreadsheetml/2009/9/main" objectType="Radio" lockText="1" noThreeD="1"/>
</file>

<file path=xl/ctrlProps/ctrlProp65.xml><?xml version="1.0" encoding="utf-8"?>
<formControlPr xmlns="http://schemas.microsoft.com/office/spreadsheetml/2009/9/main" objectType="GBox" noThreeD="1"/>
</file>

<file path=xl/ctrlProps/ctrlProp66.xml><?xml version="1.0" encoding="utf-8"?>
<formControlPr xmlns="http://schemas.microsoft.com/office/spreadsheetml/2009/9/main" objectType="Radio" firstButton="1" fmlaLink="$U$37" lockText="1" noThreeD="1"/>
</file>

<file path=xl/ctrlProps/ctrlProp67.xml><?xml version="1.0" encoding="utf-8"?>
<formControlPr xmlns="http://schemas.microsoft.com/office/spreadsheetml/2009/9/main" objectType="Radio" checked="Checked" lockText="1" noThreeD="1"/>
</file>

<file path=xl/ctrlProps/ctrlProp68.xml><?xml version="1.0" encoding="utf-8"?>
<formControlPr xmlns="http://schemas.microsoft.com/office/spreadsheetml/2009/9/main" objectType="GBox" noThreeD="1"/>
</file>

<file path=xl/ctrlProps/ctrlProp69.xml><?xml version="1.0" encoding="utf-8"?>
<formControlPr xmlns="http://schemas.microsoft.com/office/spreadsheetml/2009/9/main" objectType="Radio" firstButton="1" fmlaLink="$U$38" lockText="1" noThreeD="1"/>
</file>

<file path=xl/ctrlProps/ctrlProp70.xml><?xml version="1.0" encoding="utf-8"?>
<formControlPr xmlns="http://schemas.microsoft.com/office/spreadsheetml/2009/9/main" objectType="Radio" checked="Checked" lockText="1" noThreeD="1"/>
</file>

<file path=xl/ctrlProps/ctrlProp71.xml><?xml version="1.0" encoding="utf-8"?>
<formControlPr xmlns="http://schemas.microsoft.com/office/spreadsheetml/2009/9/main" objectType="GBox" noThreeD="1"/>
</file>

<file path=xl/ctrlProps/ctrlProp72.xml><?xml version="1.0" encoding="utf-8"?>
<formControlPr xmlns="http://schemas.microsoft.com/office/spreadsheetml/2009/9/main" objectType="Radio" checked="Checked" firstButton="1" fmlaLink="$U$40" lockText="1" noThreeD="1"/>
</file>

<file path=xl/ctrlProps/ctrlProp73.xml><?xml version="1.0" encoding="utf-8"?>
<formControlPr xmlns="http://schemas.microsoft.com/office/spreadsheetml/2009/9/main" objectType="Radio" lockText="1" noThreeD="1"/>
</file>

<file path=xl/ctrlProps/ctrlProp74.xml><?xml version="1.0" encoding="utf-8"?>
<formControlPr xmlns="http://schemas.microsoft.com/office/spreadsheetml/2009/9/main" objectType="GBox" noThreeD="1"/>
</file>

<file path=xl/ctrlProps/ctrlProp75.xml><?xml version="1.0" encoding="utf-8"?>
<formControlPr xmlns="http://schemas.microsoft.com/office/spreadsheetml/2009/9/main" objectType="Radio" checked="Checked" firstButton="1" fmlaLink="$V$18" lockText="1" noThreeD="1"/>
</file>

<file path=xl/ctrlProps/ctrlProp76.xml><?xml version="1.0" encoding="utf-8"?>
<formControlPr xmlns="http://schemas.microsoft.com/office/spreadsheetml/2009/9/main" objectType="Radio" lockText="1" noThreeD="1"/>
</file>

<file path=xl/ctrlProps/ctrlProp77.xml><?xml version="1.0" encoding="utf-8"?>
<formControlPr xmlns="http://schemas.microsoft.com/office/spreadsheetml/2009/9/main" objectType="GBox" noThreeD="1"/>
</file>

<file path=xl/ctrlProps/ctrlProp78.xml><?xml version="1.0" encoding="utf-8"?>
<formControlPr xmlns="http://schemas.microsoft.com/office/spreadsheetml/2009/9/main" objectType="Radio" checked="Checked" firstButton="1" fmlaLink="$V$19" lockText="1" noThreeD="1"/>
</file>

<file path=xl/ctrlProps/ctrlProp79.xml><?xml version="1.0" encoding="utf-8"?>
<formControlPr xmlns="http://schemas.microsoft.com/office/spreadsheetml/2009/9/main" objectType="Radio" lockText="1" noThreeD="1"/>
</file>

<file path=xl/ctrlProps/ctrlProp80.xml><?xml version="1.0" encoding="utf-8"?>
<formControlPr xmlns="http://schemas.microsoft.com/office/spreadsheetml/2009/9/main" objectType="GBox" noThreeD="1"/>
</file>

<file path=xl/ctrlProps/ctrlProp81.xml><?xml version="1.0" encoding="utf-8"?>
<formControlPr xmlns="http://schemas.microsoft.com/office/spreadsheetml/2009/9/main" objectType="Radio" checked="Checked" firstButton="1" fmlaLink="$V$20" lockText="1" noThreeD="1"/>
</file>

<file path=xl/ctrlProps/ctrlProp82.xml><?xml version="1.0" encoding="utf-8"?>
<formControlPr xmlns="http://schemas.microsoft.com/office/spreadsheetml/2009/9/main" objectType="Radio" lockText="1" noThreeD="1"/>
</file>

<file path=xl/ctrlProps/ctrlProp83.xml><?xml version="1.0" encoding="utf-8"?>
<formControlPr xmlns="http://schemas.microsoft.com/office/spreadsheetml/2009/9/main" objectType="GBox" noThreeD="1"/>
</file>

<file path=xl/ctrlProps/ctrlProp84.xml><?xml version="1.0" encoding="utf-8"?>
<formControlPr xmlns="http://schemas.microsoft.com/office/spreadsheetml/2009/9/main" objectType="Radio" checked="Checked" firstButton="1" fmlaLink="$V$21" lockText="1" noThreeD="1"/>
</file>

<file path=xl/ctrlProps/ctrlProp85.xml><?xml version="1.0" encoding="utf-8"?>
<formControlPr xmlns="http://schemas.microsoft.com/office/spreadsheetml/2009/9/main" objectType="Radio" lockText="1" noThreeD="1"/>
</file>

<file path=xl/ctrlProps/ctrlProp86.xml><?xml version="1.0" encoding="utf-8"?>
<formControlPr xmlns="http://schemas.microsoft.com/office/spreadsheetml/2009/9/main" objectType="GBox" noThreeD="1"/>
</file>

<file path=xl/ctrlProps/ctrlProp87.xml><?xml version="1.0" encoding="utf-8"?>
<formControlPr xmlns="http://schemas.microsoft.com/office/spreadsheetml/2009/9/main" objectType="Radio" checked="Checked" firstButton="1" fmlaLink="$V$22" lockText="1" noThreeD="1"/>
</file>

<file path=xl/ctrlProps/ctrlProp88.xml><?xml version="1.0" encoding="utf-8"?>
<formControlPr xmlns="http://schemas.microsoft.com/office/spreadsheetml/2009/9/main" objectType="Radio" lockText="1" noThreeD="1"/>
</file>

<file path=xl/ctrlProps/ctrlProp89.xml><?xml version="1.0" encoding="utf-8"?>
<formControlPr xmlns="http://schemas.microsoft.com/office/spreadsheetml/2009/9/main" objectType="GBox" noThreeD="1"/>
</file>

<file path=xl/ctrlProps/ctrlProp90.xml><?xml version="1.0" encoding="utf-8"?>
<formControlPr xmlns="http://schemas.microsoft.com/office/spreadsheetml/2009/9/main" objectType="Radio" checked="Checked" firstButton="1" fmlaLink="$V$32" lockText="1" noThreeD="1"/>
</file>

<file path=xl/ctrlProps/ctrlProp91.xml><?xml version="1.0" encoding="utf-8"?>
<formControlPr xmlns="http://schemas.microsoft.com/office/spreadsheetml/2009/9/main" objectType="Radio" lockText="1" noThreeD="1"/>
</file>

<file path=xl/ctrlProps/ctrlProp92.xml><?xml version="1.0" encoding="utf-8"?>
<formControlPr xmlns="http://schemas.microsoft.com/office/spreadsheetml/2009/9/main" objectType="GBox" noThreeD="1"/>
</file>

<file path=xl/ctrlProps/ctrlProp93.xml><?xml version="1.0" encoding="utf-8"?>
<formControlPr xmlns="http://schemas.microsoft.com/office/spreadsheetml/2009/9/main" objectType="Radio" checked="Checked" firstButton="1" fmlaLink="$V$17" lockText="1" noThreeD="1"/>
</file>

<file path=xl/ctrlProps/ctrlProp94.xml><?xml version="1.0" encoding="utf-8"?>
<formControlPr xmlns="http://schemas.microsoft.com/office/spreadsheetml/2009/9/main" objectType="Radio" lockText="1" noThreeD="1"/>
</file>

<file path=xl/ctrlProps/ctrlProp95.xml><?xml version="1.0" encoding="utf-8"?>
<formControlPr xmlns="http://schemas.microsoft.com/office/spreadsheetml/2009/9/main" objectType="GBox" noThreeD="1"/>
</file>

<file path=xl/ctrlProps/ctrlProp96.xml><?xml version="1.0" encoding="utf-8"?>
<formControlPr xmlns="http://schemas.microsoft.com/office/spreadsheetml/2009/9/main" objectType="Radio" checked="Checked" firstButton="1" fmlaLink="$U$18" lockText="1" noThreeD="1"/>
</file>

<file path=xl/ctrlProps/ctrlProp97.xml><?xml version="1.0" encoding="utf-8"?>
<formControlPr xmlns="http://schemas.microsoft.com/office/spreadsheetml/2009/9/main" objectType="Radio" lockText="1" noThreeD="1"/>
</file>

<file path=xl/ctrlProps/ctrlProp98.xml><?xml version="1.0" encoding="utf-8"?>
<formControlPr xmlns="http://schemas.microsoft.com/office/spreadsheetml/2009/9/main" objectType="GBox" noThreeD="1"/>
</file>

<file path=xl/ctrlProps/ctrlProp99.xml><?xml version="1.0" encoding="utf-8"?>
<formControlPr xmlns="http://schemas.microsoft.com/office/spreadsheetml/2009/9/main" objectType="Radio" checked="Checked" firstButton="1" fmlaLink="$U$27" lockText="1" noThreeD="1"/>
</file>

<file path=xl/ctrlProps/ctrlProp100.xml><?xml version="1.0" encoding="utf-8"?>
<formControlPr xmlns="http://schemas.microsoft.com/office/spreadsheetml/2009/9/main" objectType="Radio" lockText="1" noThreeD="1"/>
</file>

<file path=xl/ctrlProps/ctrlProp101.xml><?xml version="1.0" encoding="utf-8"?>
<formControlPr xmlns="http://schemas.microsoft.com/office/spreadsheetml/2009/9/main" objectType="GBox" noThreeD="1"/>
</file>

<file path=xl/ctrlProps/ctrlProp102.xml><?xml version="1.0" encoding="utf-8"?>
<formControlPr xmlns="http://schemas.microsoft.com/office/spreadsheetml/2009/9/main" objectType="Radio" checked="Checked" firstButton="1" fmlaLink="$V$33" lockText="1" noThreeD="1"/>
</file>

<file path=xl/ctrlProps/ctrlProp103.xml><?xml version="1.0" encoding="utf-8"?>
<formControlPr xmlns="http://schemas.microsoft.com/office/spreadsheetml/2009/9/main" objectType="Radio" lockText="1" noThreeD="1"/>
</file>

<file path=xl/ctrlProps/ctrlProp104.xml><?xml version="1.0" encoding="utf-8"?>
<formControlPr xmlns="http://schemas.microsoft.com/office/spreadsheetml/2009/9/main" objectType="Radio" checked="Checked" firstButton="1" fmlaLink="$U$13" lockText="1" noThreeD="1"/>
</file>

<file path=xl/ctrlProps/ctrlProp105.xml><?xml version="1.0" encoding="utf-8"?>
<formControlPr xmlns="http://schemas.microsoft.com/office/spreadsheetml/2009/9/main" objectType="Radio" lockText="1" noThreeD="1"/>
</file>

<file path=xl/ctrlProps/ctrlProp106.xml><?xml version="1.0" encoding="utf-8"?>
<formControlPr xmlns="http://schemas.microsoft.com/office/spreadsheetml/2009/9/main" objectType="Radio" lockText="1" noThreeD="1"/>
</file>

<file path=xl/ctrlProps/ctrlProp107.xml><?xml version="1.0" encoding="utf-8"?>
<formControlPr xmlns="http://schemas.microsoft.com/office/spreadsheetml/2009/9/main" objectType="GBox" noThreeD="1"/>
</file>

<file path=xl/ctrlProps/ctrlProp108.xml><?xml version="1.0" encoding="utf-8"?>
<formControlPr xmlns="http://schemas.microsoft.com/office/spreadsheetml/2009/9/main" objectType="Radio" firstButton="1" fmlaLink="$U$15" lockText="1" noThreeD="1"/>
</file>

<file path=xl/ctrlProps/ctrlProp109.xml><?xml version="1.0" encoding="utf-8"?>
<formControlPr xmlns="http://schemas.microsoft.com/office/spreadsheetml/2009/9/main" objectType="Radio" checked="Checked" lockText="1" noThreeD="1"/>
</file>

<file path=xl/ctrlProps/ctrlProp110.xml><?xml version="1.0" encoding="utf-8"?>
<formControlPr xmlns="http://schemas.microsoft.com/office/spreadsheetml/2009/9/main" objectType="Radio" lockText="1" noThreeD="1"/>
</file>

<file path=xl/ctrlProps/ctrlProp111.xml><?xml version="1.0" encoding="utf-8"?>
<formControlPr xmlns="http://schemas.microsoft.com/office/spreadsheetml/2009/9/main" objectType="GBox" noThreeD="1"/>
</file>

<file path=xl/ctrlProps/ctrlProp112.xml><?xml version="1.0" encoding="utf-8"?>
<formControlPr xmlns="http://schemas.microsoft.com/office/spreadsheetml/2009/9/main" objectType="Radio" checked="Checked" firstButton="1" fmlaLink="$U$14" lockText="1" noThreeD="1"/>
</file>

<file path=xl/ctrlProps/ctrlProp113.xml><?xml version="1.0" encoding="utf-8"?>
<formControlPr xmlns="http://schemas.microsoft.com/office/spreadsheetml/2009/9/main" objectType="Radio" lockText="1" noThreeD="1"/>
</file>

<file path=xl/ctrlProps/ctrlProp114.xml><?xml version="1.0" encoding="utf-8"?>
<formControlPr xmlns="http://schemas.microsoft.com/office/spreadsheetml/2009/9/main" objectType="GBox" noThreeD="1"/>
</file>

<file path=xl/ctrlProps/ctrlProp115.xml><?xml version="1.0" encoding="utf-8"?>
<formControlPr xmlns="http://schemas.microsoft.com/office/spreadsheetml/2009/9/main" objectType="Radio" checked="Checked" firstButton="1" fmlaLink="$U$16" lockText="1" noThreeD="1"/>
</file>

<file path=xl/ctrlProps/ctrlProp116.xml><?xml version="1.0" encoding="utf-8"?>
<formControlPr xmlns="http://schemas.microsoft.com/office/spreadsheetml/2009/9/main" objectType="Radio" lockText="1" noThreeD="1"/>
</file>

<file path=xl/ctrlProps/ctrlProp117.xml><?xml version="1.0" encoding="utf-8"?>
<formControlPr xmlns="http://schemas.microsoft.com/office/spreadsheetml/2009/9/main" objectType="Radio" lockText="1" noThreeD="1"/>
</file>

<file path=xl/ctrlProps/ctrlProp118.xml><?xml version="1.0" encoding="utf-8"?>
<formControlPr xmlns="http://schemas.microsoft.com/office/spreadsheetml/2009/9/main" objectType="GBox" noThreeD="1"/>
</file>

<file path=xl/ctrlProps/ctrlProp119.xml><?xml version="1.0" encoding="utf-8"?>
<formControlPr xmlns="http://schemas.microsoft.com/office/spreadsheetml/2009/9/main" objectType="Radio" checked="Checked" firstButton="1" fmlaLink="$V$13" lockText="1" noThreeD="1"/>
</file>

<file path=xl/ctrlProps/ctrlProp120.xml><?xml version="1.0" encoding="utf-8"?>
<formControlPr xmlns="http://schemas.microsoft.com/office/spreadsheetml/2009/9/main" objectType="Radio" lockText="1" noThreeD="1"/>
</file>

<file path=xl/ctrlProps/ctrlProp121.xml><?xml version="1.0" encoding="utf-8"?>
<formControlPr xmlns="http://schemas.microsoft.com/office/spreadsheetml/2009/9/main" objectType="GBox" noThreeD="1"/>
</file>

<file path=xl/ctrlProps/ctrlProp122.xml><?xml version="1.0" encoding="utf-8"?>
<formControlPr xmlns="http://schemas.microsoft.com/office/spreadsheetml/2009/9/main" objectType="Radio" checked="Checked" firstButton="1" fmlaLink="$V$14" lockText="1" noThreeD="1"/>
</file>

<file path=xl/ctrlProps/ctrlProp123.xml><?xml version="1.0" encoding="utf-8"?>
<formControlPr xmlns="http://schemas.microsoft.com/office/spreadsheetml/2009/9/main" objectType="Radio" lockText="1" noThreeD="1"/>
</file>

<file path=xl/ctrlProps/ctrlProp124.xml><?xml version="1.0" encoding="utf-8"?>
<formControlPr xmlns="http://schemas.microsoft.com/office/spreadsheetml/2009/9/main" objectType="GBox" noThreeD="1"/>
</file>

<file path=xl/ctrlProps/ctrlProp125.xml><?xml version="1.0" encoding="utf-8"?>
<formControlPr xmlns="http://schemas.microsoft.com/office/spreadsheetml/2009/9/main" objectType="Radio" checked="Checked" firstButton="1" fmlaLink="$V$15" lockText="1" noThreeD="1"/>
</file>

<file path=xl/ctrlProps/ctrlProp126.xml><?xml version="1.0" encoding="utf-8"?>
<formControlPr xmlns="http://schemas.microsoft.com/office/spreadsheetml/2009/9/main" objectType="Radio" lockText="1" noThreeD="1"/>
</file>

<file path=xl/ctrlProps/ctrlProp127.xml><?xml version="1.0" encoding="utf-8"?>
<formControlPr xmlns="http://schemas.microsoft.com/office/spreadsheetml/2009/9/main" objectType="GBox" noThreeD="1"/>
</file>

<file path=xl/ctrlProps/ctrlProp128.xml><?xml version="1.0" encoding="utf-8"?>
<formControlPr xmlns="http://schemas.microsoft.com/office/spreadsheetml/2009/9/main" objectType="Radio" checked="Checked" firstButton="1" fmlaLink="$V$16" lockText="1" noThreeD="1"/>
</file>

<file path=xl/ctrlProps/ctrlProp129.xml><?xml version="1.0" encoding="utf-8"?>
<formControlPr xmlns="http://schemas.microsoft.com/office/spreadsheetml/2009/9/main" objectType="Radio" lockText="1" noThreeD="1"/>
</file>

<file path=xl/ctrlProps/ctrlProp130.xml><?xml version="1.0" encoding="utf-8"?>
<formControlPr xmlns="http://schemas.microsoft.com/office/spreadsheetml/2009/9/main" objectType="GBox" noThreeD="1"/>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63</xdr:row>
      <xdr:rowOff>0</xdr:rowOff>
    </xdr:from>
    <xdr:to>
      <xdr:col>5</xdr:col>
      <xdr:colOff>68580</xdr:colOff>
      <xdr:row>64</xdr:row>
      <xdr:rowOff>60960</xdr:rowOff>
    </xdr:to>
    <xdr:sp macro="" textlink="">
      <xdr:nvSpPr>
        <xdr:cNvPr id="26632" name="Text Box 8">
          <a:extLst>
            <a:ext uri="{FF2B5EF4-FFF2-40B4-BE49-F238E27FC236}">
              <a16:creationId xmlns:a16="http://schemas.microsoft.com/office/drawing/2014/main" id="{00000000-0008-0000-0000-000008680000}"/>
            </a:ext>
          </a:extLst>
        </xdr:cNvPr>
        <xdr:cNvSpPr txBox="1">
          <a:spLocks noChangeArrowheads="1"/>
        </xdr:cNvSpPr>
      </xdr:nvSpPr>
      <xdr:spPr bwMode="auto">
        <a:xfrm>
          <a:off x="1318260" y="9944100"/>
          <a:ext cx="68580" cy="220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66</xdr:row>
      <xdr:rowOff>0</xdr:rowOff>
    </xdr:from>
    <xdr:to>
      <xdr:col>5</xdr:col>
      <xdr:colOff>68580</xdr:colOff>
      <xdr:row>67</xdr:row>
      <xdr:rowOff>60960</xdr:rowOff>
    </xdr:to>
    <xdr:sp macro="" textlink="">
      <xdr:nvSpPr>
        <xdr:cNvPr id="26633" name="Text Box 29">
          <a:extLst>
            <a:ext uri="{FF2B5EF4-FFF2-40B4-BE49-F238E27FC236}">
              <a16:creationId xmlns:a16="http://schemas.microsoft.com/office/drawing/2014/main" id="{00000000-0008-0000-0000-000009680000}"/>
            </a:ext>
          </a:extLst>
        </xdr:cNvPr>
        <xdr:cNvSpPr txBox="1">
          <a:spLocks noChangeArrowheads="1"/>
        </xdr:cNvSpPr>
      </xdr:nvSpPr>
      <xdr:spPr bwMode="auto">
        <a:xfrm>
          <a:off x="1318260" y="10439400"/>
          <a:ext cx="68580" cy="220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mc:AlternateContent xmlns:mc="http://schemas.openxmlformats.org/markup-compatibility/2006">
    <mc:Choice xmlns:a14="http://schemas.microsoft.com/office/drawing/2010/main" Requires="a14">
      <xdr:twoCellAnchor editAs="oneCell">
        <xdr:from>
          <xdr:col>2</xdr:col>
          <xdr:colOff>15240</xdr:colOff>
          <xdr:row>216</xdr:row>
          <xdr:rowOff>38100</xdr:rowOff>
        </xdr:from>
        <xdr:to>
          <xdr:col>3</xdr:col>
          <xdr:colOff>99060</xdr:colOff>
          <xdr:row>218</xdr:row>
          <xdr:rowOff>45720</xdr:rowOff>
        </xdr:to>
        <xdr:sp macro="" textlink="">
          <xdr:nvSpPr>
            <xdr:cNvPr id="9445" name="Check Box 229" hidden="1">
              <a:extLst>
                <a:ext uri="{63B3BB69-23CF-44E3-9099-C40C66FF867C}">
                  <a14:compatExt spid="_x0000_s9445"/>
                </a:ext>
                <a:ext uri="{FF2B5EF4-FFF2-40B4-BE49-F238E27FC236}">
                  <a16:creationId xmlns:a16="http://schemas.microsoft.com/office/drawing/2014/main" id="{00000000-0008-0000-0000-0000E5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217</xdr:row>
          <xdr:rowOff>144780</xdr:rowOff>
        </xdr:from>
        <xdr:to>
          <xdr:col>3</xdr:col>
          <xdr:colOff>99060</xdr:colOff>
          <xdr:row>219</xdr:row>
          <xdr:rowOff>45720</xdr:rowOff>
        </xdr:to>
        <xdr:sp macro="" textlink="">
          <xdr:nvSpPr>
            <xdr:cNvPr id="9446" name="Check Box 230" hidden="1">
              <a:extLst>
                <a:ext uri="{63B3BB69-23CF-44E3-9099-C40C66FF867C}">
                  <a14:compatExt spid="_x0000_s9446"/>
                </a:ext>
                <a:ext uri="{FF2B5EF4-FFF2-40B4-BE49-F238E27FC236}">
                  <a16:creationId xmlns:a16="http://schemas.microsoft.com/office/drawing/2014/main" id="{00000000-0008-0000-0000-0000E6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219</xdr:row>
          <xdr:rowOff>106680</xdr:rowOff>
        </xdr:from>
        <xdr:to>
          <xdr:col>3</xdr:col>
          <xdr:colOff>99060</xdr:colOff>
          <xdr:row>221</xdr:row>
          <xdr:rowOff>91440</xdr:rowOff>
        </xdr:to>
        <xdr:sp macro="" textlink="">
          <xdr:nvSpPr>
            <xdr:cNvPr id="9447" name="Check Box 231" hidden="1">
              <a:extLst>
                <a:ext uri="{63B3BB69-23CF-44E3-9099-C40C66FF867C}">
                  <a14:compatExt spid="_x0000_s9447"/>
                </a:ext>
                <a:ext uri="{FF2B5EF4-FFF2-40B4-BE49-F238E27FC236}">
                  <a16:creationId xmlns:a16="http://schemas.microsoft.com/office/drawing/2014/main" id="{00000000-0008-0000-0000-0000E7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241</xdr:row>
          <xdr:rowOff>144780</xdr:rowOff>
        </xdr:from>
        <xdr:to>
          <xdr:col>3</xdr:col>
          <xdr:colOff>99060</xdr:colOff>
          <xdr:row>243</xdr:row>
          <xdr:rowOff>30480</xdr:rowOff>
        </xdr:to>
        <xdr:sp macro="" textlink="">
          <xdr:nvSpPr>
            <xdr:cNvPr id="9448" name="Check Box 232" hidden="1">
              <a:extLst>
                <a:ext uri="{63B3BB69-23CF-44E3-9099-C40C66FF867C}">
                  <a14:compatExt spid="_x0000_s9448"/>
                </a:ext>
                <a:ext uri="{FF2B5EF4-FFF2-40B4-BE49-F238E27FC236}">
                  <a16:creationId xmlns:a16="http://schemas.microsoft.com/office/drawing/2014/main" id="{00000000-0008-0000-0000-0000E8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246</xdr:row>
          <xdr:rowOff>0</xdr:rowOff>
        </xdr:from>
        <xdr:to>
          <xdr:col>3</xdr:col>
          <xdr:colOff>99060</xdr:colOff>
          <xdr:row>247</xdr:row>
          <xdr:rowOff>129540</xdr:rowOff>
        </xdr:to>
        <xdr:sp macro="" textlink="">
          <xdr:nvSpPr>
            <xdr:cNvPr id="9449" name="Check Box 233" hidden="1">
              <a:extLst>
                <a:ext uri="{63B3BB69-23CF-44E3-9099-C40C66FF867C}">
                  <a14:compatExt spid="_x0000_s9449"/>
                </a:ext>
                <a:ext uri="{FF2B5EF4-FFF2-40B4-BE49-F238E27FC236}">
                  <a16:creationId xmlns:a16="http://schemas.microsoft.com/office/drawing/2014/main" id="{00000000-0008-0000-0000-0000E9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250</xdr:row>
          <xdr:rowOff>106680</xdr:rowOff>
        </xdr:from>
        <xdr:to>
          <xdr:col>3</xdr:col>
          <xdr:colOff>99060</xdr:colOff>
          <xdr:row>252</xdr:row>
          <xdr:rowOff>53340</xdr:rowOff>
        </xdr:to>
        <xdr:sp macro="" textlink="">
          <xdr:nvSpPr>
            <xdr:cNvPr id="9450" name="Check Box 234" hidden="1">
              <a:extLst>
                <a:ext uri="{63B3BB69-23CF-44E3-9099-C40C66FF867C}">
                  <a14:compatExt spid="_x0000_s9450"/>
                </a:ext>
                <a:ext uri="{FF2B5EF4-FFF2-40B4-BE49-F238E27FC236}">
                  <a16:creationId xmlns:a16="http://schemas.microsoft.com/office/drawing/2014/main" id="{00000000-0008-0000-0000-0000EA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227</xdr:row>
          <xdr:rowOff>76200</xdr:rowOff>
        </xdr:from>
        <xdr:to>
          <xdr:col>3</xdr:col>
          <xdr:colOff>99060</xdr:colOff>
          <xdr:row>229</xdr:row>
          <xdr:rowOff>76200</xdr:rowOff>
        </xdr:to>
        <xdr:sp macro="" textlink="">
          <xdr:nvSpPr>
            <xdr:cNvPr id="9451" name="Check Box 235" hidden="1">
              <a:extLst>
                <a:ext uri="{63B3BB69-23CF-44E3-9099-C40C66FF867C}">
                  <a14:compatExt spid="_x0000_s9451"/>
                </a:ext>
                <a:ext uri="{FF2B5EF4-FFF2-40B4-BE49-F238E27FC236}">
                  <a16:creationId xmlns:a16="http://schemas.microsoft.com/office/drawing/2014/main" id="{00000000-0008-0000-0000-0000EB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239</xdr:row>
          <xdr:rowOff>0</xdr:rowOff>
        </xdr:from>
        <xdr:to>
          <xdr:col>3</xdr:col>
          <xdr:colOff>99060</xdr:colOff>
          <xdr:row>240</xdr:row>
          <xdr:rowOff>144780</xdr:rowOff>
        </xdr:to>
        <xdr:sp macro="" textlink="">
          <xdr:nvSpPr>
            <xdr:cNvPr id="9452" name="Check Box 236" hidden="1">
              <a:extLst>
                <a:ext uri="{63B3BB69-23CF-44E3-9099-C40C66FF867C}">
                  <a14:compatExt spid="_x0000_s9452"/>
                </a:ext>
                <a:ext uri="{FF2B5EF4-FFF2-40B4-BE49-F238E27FC236}">
                  <a16:creationId xmlns:a16="http://schemas.microsoft.com/office/drawing/2014/main" id="{00000000-0008-0000-0000-0000EC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243</xdr:row>
          <xdr:rowOff>60960</xdr:rowOff>
        </xdr:from>
        <xdr:to>
          <xdr:col>3</xdr:col>
          <xdr:colOff>99060</xdr:colOff>
          <xdr:row>244</xdr:row>
          <xdr:rowOff>83820</xdr:rowOff>
        </xdr:to>
        <xdr:sp macro="" textlink="">
          <xdr:nvSpPr>
            <xdr:cNvPr id="9453" name="Check Box 237" hidden="1">
              <a:extLst>
                <a:ext uri="{63B3BB69-23CF-44E3-9099-C40C66FF867C}">
                  <a14:compatExt spid="_x0000_s9453"/>
                </a:ext>
                <a:ext uri="{FF2B5EF4-FFF2-40B4-BE49-F238E27FC236}">
                  <a16:creationId xmlns:a16="http://schemas.microsoft.com/office/drawing/2014/main" id="{00000000-0008-0000-0000-0000ED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258</xdr:row>
          <xdr:rowOff>91440</xdr:rowOff>
        </xdr:from>
        <xdr:to>
          <xdr:col>3</xdr:col>
          <xdr:colOff>99060</xdr:colOff>
          <xdr:row>260</xdr:row>
          <xdr:rowOff>68580</xdr:rowOff>
        </xdr:to>
        <xdr:sp macro="" textlink="">
          <xdr:nvSpPr>
            <xdr:cNvPr id="9454" name="Check Box 238" hidden="1">
              <a:extLst>
                <a:ext uri="{63B3BB69-23CF-44E3-9099-C40C66FF867C}">
                  <a14:compatExt spid="_x0000_s9454"/>
                </a:ext>
                <a:ext uri="{FF2B5EF4-FFF2-40B4-BE49-F238E27FC236}">
                  <a16:creationId xmlns:a16="http://schemas.microsoft.com/office/drawing/2014/main" id="{00000000-0008-0000-0000-0000EE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270</xdr:row>
          <xdr:rowOff>22860</xdr:rowOff>
        </xdr:from>
        <xdr:to>
          <xdr:col>3</xdr:col>
          <xdr:colOff>99060</xdr:colOff>
          <xdr:row>271</xdr:row>
          <xdr:rowOff>152400</xdr:rowOff>
        </xdr:to>
        <xdr:sp macro="" textlink="">
          <xdr:nvSpPr>
            <xdr:cNvPr id="9455" name="Check Box 239" hidden="1">
              <a:extLst>
                <a:ext uri="{63B3BB69-23CF-44E3-9099-C40C66FF867C}">
                  <a14:compatExt spid="_x0000_s9455"/>
                </a:ext>
                <a:ext uri="{FF2B5EF4-FFF2-40B4-BE49-F238E27FC236}">
                  <a16:creationId xmlns:a16="http://schemas.microsoft.com/office/drawing/2014/main" id="{00000000-0008-0000-0000-0000EF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274</xdr:row>
          <xdr:rowOff>91440</xdr:rowOff>
        </xdr:from>
        <xdr:to>
          <xdr:col>3</xdr:col>
          <xdr:colOff>99060</xdr:colOff>
          <xdr:row>277</xdr:row>
          <xdr:rowOff>0</xdr:rowOff>
        </xdr:to>
        <xdr:sp macro="" textlink="">
          <xdr:nvSpPr>
            <xdr:cNvPr id="9456" name="Check Box 240" hidden="1">
              <a:extLst>
                <a:ext uri="{63B3BB69-23CF-44E3-9099-C40C66FF867C}">
                  <a14:compatExt spid="_x0000_s9456"/>
                </a:ext>
                <a:ext uri="{FF2B5EF4-FFF2-40B4-BE49-F238E27FC236}">
                  <a16:creationId xmlns:a16="http://schemas.microsoft.com/office/drawing/2014/main" id="{00000000-0008-0000-0000-0000F0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264</xdr:row>
          <xdr:rowOff>106680</xdr:rowOff>
        </xdr:from>
        <xdr:to>
          <xdr:col>3</xdr:col>
          <xdr:colOff>99060</xdr:colOff>
          <xdr:row>266</xdr:row>
          <xdr:rowOff>121920</xdr:rowOff>
        </xdr:to>
        <xdr:sp macro="" textlink="">
          <xdr:nvSpPr>
            <xdr:cNvPr id="9457" name="Check Box 241" hidden="1">
              <a:extLst>
                <a:ext uri="{63B3BB69-23CF-44E3-9099-C40C66FF867C}">
                  <a14:compatExt spid="_x0000_s9457"/>
                </a:ext>
                <a:ext uri="{FF2B5EF4-FFF2-40B4-BE49-F238E27FC236}">
                  <a16:creationId xmlns:a16="http://schemas.microsoft.com/office/drawing/2014/main" id="{00000000-0008-0000-0000-0000F1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277</xdr:row>
          <xdr:rowOff>7620</xdr:rowOff>
        </xdr:from>
        <xdr:to>
          <xdr:col>3</xdr:col>
          <xdr:colOff>99060</xdr:colOff>
          <xdr:row>279</xdr:row>
          <xdr:rowOff>0</xdr:rowOff>
        </xdr:to>
        <xdr:sp macro="" textlink="">
          <xdr:nvSpPr>
            <xdr:cNvPr id="9458" name="Check Box 242" hidden="1">
              <a:extLst>
                <a:ext uri="{63B3BB69-23CF-44E3-9099-C40C66FF867C}">
                  <a14:compatExt spid="_x0000_s9458"/>
                </a:ext>
                <a:ext uri="{FF2B5EF4-FFF2-40B4-BE49-F238E27FC236}">
                  <a16:creationId xmlns:a16="http://schemas.microsoft.com/office/drawing/2014/main" id="{00000000-0008-0000-0000-0000F2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15</xdr:col>
      <xdr:colOff>59055</xdr:colOff>
      <xdr:row>0</xdr:row>
      <xdr:rowOff>0</xdr:rowOff>
    </xdr:from>
    <xdr:to>
      <xdr:col>17</xdr:col>
      <xdr:colOff>23284</xdr:colOff>
      <xdr:row>0</xdr:row>
      <xdr:rowOff>0</xdr:rowOff>
    </xdr:to>
    <xdr:sp macro="" textlink="">
      <xdr:nvSpPr>
        <xdr:cNvPr id="7243" name="Text Box 75">
          <a:extLst>
            <a:ext uri="{FF2B5EF4-FFF2-40B4-BE49-F238E27FC236}">
              <a16:creationId xmlns:a16="http://schemas.microsoft.com/office/drawing/2014/main" id="{00000000-0008-0000-0100-00004B1C0000}"/>
            </a:ext>
          </a:extLst>
        </xdr:cNvPr>
        <xdr:cNvSpPr txBox="1">
          <a:spLocks noChangeArrowheads="1"/>
        </xdr:cNvSpPr>
      </xdr:nvSpPr>
      <xdr:spPr bwMode="auto">
        <a:xfrm>
          <a:off x="6334125" y="0"/>
          <a:ext cx="1209675" cy="0"/>
        </a:xfrm>
        <a:prstGeom prst="rect">
          <a:avLst/>
        </a:prstGeom>
        <a:solidFill>
          <a:srgbClr val="FFFFFF"/>
        </a:solidFill>
        <a:ln w="3175">
          <a:solidFill>
            <a:srgbClr val="000000"/>
          </a:solidFill>
          <a:prstDash val="dash"/>
          <a:miter lim="800000"/>
          <a:headEnd/>
          <a:tailEnd/>
        </a:ln>
      </xdr:spPr>
      <xdr:txBody>
        <a:bodyPr vertOverflow="clip" wrap="square" lIns="27432" tIns="18288" rIns="27432" bIns="0" anchor="t" upright="1"/>
        <a:lstStyle/>
        <a:p>
          <a:pPr algn="ctr" rtl="0">
            <a:defRPr sz="1000"/>
          </a:pPr>
          <a:endParaRPr lang="ja-JP" altLang="en-US" sz="1100" b="0" i="0" u="none" strike="noStrike" baseline="0">
            <a:solidFill>
              <a:srgbClr val="C0C0C0"/>
            </a:solidFill>
            <a:latin typeface="ＭＳ Ｐ明朝"/>
            <a:ea typeface="ＭＳ Ｐ明朝"/>
          </a:endParaRPr>
        </a:p>
        <a:p>
          <a:pPr algn="ctr" rtl="0">
            <a:defRPr sz="1000"/>
          </a:pPr>
          <a:r>
            <a:rPr lang="ja-JP" altLang="en-US" sz="1100" b="0" i="0" u="none" strike="noStrike" baseline="0">
              <a:solidFill>
                <a:srgbClr val="C0C0C0"/>
              </a:solidFill>
              <a:latin typeface="ＭＳ Ｐ明朝"/>
              <a:ea typeface="ＭＳ Ｐ明朝"/>
            </a:rPr>
            <a:t>責任者</a:t>
          </a:r>
        </a:p>
        <a:p>
          <a:pPr algn="ctr" rtl="0">
            <a:defRPr sz="1000"/>
          </a:pPr>
          <a:r>
            <a:rPr lang="ja-JP" altLang="en-US" sz="1100" b="0" i="0" u="none" strike="noStrike" baseline="0">
              <a:solidFill>
                <a:srgbClr val="C0C0C0"/>
              </a:solidFill>
              <a:latin typeface="ＭＳ Ｐ明朝"/>
              <a:ea typeface="ＭＳ Ｐ明朝"/>
            </a:rPr>
            <a:t>印</a:t>
          </a:r>
        </a:p>
      </xdr:txBody>
    </xdr:sp>
    <xdr:clientData/>
  </xdr:twoCellAnchor>
  <xdr:twoCellAnchor>
    <xdr:from>
      <xdr:col>11</xdr:col>
      <xdr:colOff>0</xdr:colOff>
      <xdr:row>7</xdr:row>
      <xdr:rowOff>68580</xdr:rowOff>
    </xdr:from>
    <xdr:to>
      <xdr:col>14</xdr:col>
      <xdr:colOff>0</xdr:colOff>
      <xdr:row>8</xdr:row>
      <xdr:rowOff>0</xdr:rowOff>
    </xdr:to>
    <xdr:grpSp>
      <xdr:nvGrpSpPr>
        <xdr:cNvPr id="26409" name="Group 104">
          <a:extLst>
            <a:ext uri="{FF2B5EF4-FFF2-40B4-BE49-F238E27FC236}">
              <a16:creationId xmlns:a16="http://schemas.microsoft.com/office/drawing/2014/main" id="{00000000-0008-0000-0100-000029670000}"/>
            </a:ext>
          </a:extLst>
        </xdr:cNvPr>
        <xdr:cNvGrpSpPr>
          <a:grpSpLocks/>
        </xdr:cNvGrpSpPr>
      </xdr:nvGrpSpPr>
      <xdr:grpSpPr bwMode="auto">
        <a:xfrm>
          <a:off x="3475892" y="1094349"/>
          <a:ext cx="1846385" cy="89682"/>
          <a:chOff x="386" y="315"/>
          <a:chExt cx="211" cy="10"/>
        </a:xfrm>
      </xdr:grpSpPr>
      <xdr:sp macro="" textlink="">
        <xdr:nvSpPr>
          <xdr:cNvPr id="26429" name="Line 105">
            <a:extLst>
              <a:ext uri="{FF2B5EF4-FFF2-40B4-BE49-F238E27FC236}">
                <a16:creationId xmlns:a16="http://schemas.microsoft.com/office/drawing/2014/main" id="{00000000-0008-0000-0100-00003D670000}"/>
              </a:ext>
            </a:extLst>
          </xdr:cNvPr>
          <xdr:cNvSpPr>
            <a:spLocks noChangeShapeType="1"/>
          </xdr:cNvSpPr>
        </xdr:nvSpPr>
        <xdr:spPr bwMode="auto">
          <a:xfrm flipH="1">
            <a:off x="386" y="315"/>
            <a:ext cx="10" cy="1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6430" name="Line 106">
            <a:extLst>
              <a:ext uri="{FF2B5EF4-FFF2-40B4-BE49-F238E27FC236}">
                <a16:creationId xmlns:a16="http://schemas.microsoft.com/office/drawing/2014/main" id="{00000000-0008-0000-0100-00003E670000}"/>
              </a:ext>
            </a:extLst>
          </xdr:cNvPr>
          <xdr:cNvSpPr>
            <a:spLocks noChangeShapeType="1"/>
          </xdr:cNvSpPr>
        </xdr:nvSpPr>
        <xdr:spPr bwMode="auto">
          <a:xfrm flipH="1">
            <a:off x="396" y="315"/>
            <a:ext cx="191"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6431" name="Line 107">
            <a:extLst>
              <a:ext uri="{FF2B5EF4-FFF2-40B4-BE49-F238E27FC236}">
                <a16:creationId xmlns:a16="http://schemas.microsoft.com/office/drawing/2014/main" id="{00000000-0008-0000-0100-00003F670000}"/>
              </a:ext>
            </a:extLst>
          </xdr:cNvPr>
          <xdr:cNvSpPr>
            <a:spLocks noChangeShapeType="1"/>
          </xdr:cNvSpPr>
        </xdr:nvSpPr>
        <xdr:spPr bwMode="auto">
          <a:xfrm flipH="1" flipV="1">
            <a:off x="587" y="315"/>
            <a:ext cx="10" cy="1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11</xdr:col>
      <xdr:colOff>166370</xdr:colOff>
      <xdr:row>7</xdr:row>
      <xdr:rowOff>0</xdr:rowOff>
    </xdr:from>
    <xdr:to>
      <xdr:col>13</xdr:col>
      <xdr:colOff>419759</xdr:colOff>
      <xdr:row>7</xdr:row>
      <xdr:rowOff>141194</xdr:rowOff>
    </xdr:to>
    <xdr:sp macro="" textlink="">
      <xdr:nvSpPr>
        <xdr:cNvPr id="7257" name="Text Box 89">
          <a:extLst>
            <a:ext uri="{FF2B5EF4-FFF2-40B4-BE49-F238E27FC236}">
              <a16:creationId xmlns:a16="http://schemas.microsoft.com/office/drawing/2014/main" id="{00000000-0008-0000-0100-0000591C0000}"/>
            </a:ext>
          </a:extLst>
        </xdr:cNvPr>
        <xdr:cNvSpPr txBox="1">
          <a:spLocks noChangeArrowheads="1"/>
        </xdr:cNvSpPr>
      </xdr:nvSpPr>
      <xdr:spPr bwMode="auto">
        <a:xfrm>
          <a:off x="3790950" y="1076325"/>
          <a:ext cx="1647825" cy="133350"/>
        </a:xfrm>
        <a:prstGeom prst="rect">
          <a:avLst/>
        </a:prstGeom>
        <a:solidFill>
          <a:srgbClr val="FFFFFF"/>
        </a:solidFill>
        <a:ln w="3175">
          <a:solidFill>
            <a:srgbClr val="000000"/>
          </a:solidFill>
          <a:miter lim="800000"/>
          <a:headEnd/>
          <a:tailEnd/>
        </a:ln>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ＭＳ Ｐ明朝"/>
              <a:ea typeface="ＭＳ Ｐ明朝"/>
            </a:rPr>
            <a:t>各物質につき１箇所を選択</a:t>
          </a:r>
        </a:p>
      </xdr:txBody>
    </xdr:sp>
    <xdr:clientData/>
  </xdr:twoCellAnchor>
  <xdr:twoCellAnchor>
    <xdr:from>
      <xdr:col>14</xdr:col>
      <xdr:colOff>0</xdr:colOff>
      <xdr:row>7</xdr:row>
      <xdr:rowOff>68580</xdr:rowOff>
    </xdr:from>
    <xdr:to>
      <xdr:col>18</xdr:col>
      <xdr:colOff>0</xdr:colOff>
      <xdr:row>8</xdr:row>
      <xdr:rowOff>0</xdr:rowOff>
    </xdr:to>
    <xdr:grpSp>
      <xdr:nvGrpSpPr>
        <xdr:cNvPr id="26411" name="Group 108">
          <a:extLst>
            <a:ext uri="{FF2B5EF4-FFF2-40B4-BE49-F238E27FC236}">
              <a16:creationId xmlns:a16="http://schemas.microsoft.com/office/drawing/2014/main" id="{00000000-0008-0000-0100-00002B670000}"/>
            </a:ext>
          </a:extLst>
        </xdr:cNvPr>
        <xdr:cNvGrpSpPr>
          <a:grpSpLocks/>
        </xdr:cNvGrpSpPr>
      </xdr:nvGrpSpPr>
      <xdr:grpSpPr bwMode="auto">
        <a:xfrm>
          <a:off x="5322277" y="1094349"/>
          <a:ext cx="1746738" cy="89682"/>
          <a:chOff x="386" y="315"/>
          <a:chExt cx="211" cy="10"/>
        </a:xfrm>
      </xdr:grpSpPr>
      <xdr:sp macro="" textlink="">
        <xdr:nvSpPr>
          <xdr:cNvPr id="26426" name="Line 109">
            <a:extLst>
              <a:ext uri="{FF2B5EF4-FFF2-40B4-BE49-F238E27FC236}">
                <a16:creationId xmlns:a16="http://schemas.microsoft.com/office/drawing/2014/main" id="{00000000-0008-0000-0100-00003A670000}"/>
              </a:ext>
            </a:extLst>
          </xdr:cNvPr>
          <xdr:cNvSpPr>
            <a:spLocks noChangeShapeType="1"/>
          </xdr:cNvSpPr>
        </xdr:nvSpPr>
        <xdr:spPr bwMode="auto">
          <a:xfrm flipH="1">
            <a:off x="386" y="315"/>
            <a:ext cx="10" cy="1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6427" name="Line 110">
            <a:extLst>
              <a:ext uri="{FF2B5EF4-FFF2-40B4-BE49-F238E27FC236}">
                <a16:creationId xmlns:a16="http://schemas.microsoft.com/office/drawing/2014/main" id="{00000000-0008-0000-0100-00003B670000}"/>
              </a:ext>
            </a:extLst>
          </xdr:cNvPr>
          <xdr:cNvSpPr>
            <a:spLocks noChangeShapeType="1"/>
          </xdr:cNvSpPr>
        </xdr:nvSpPr>
        <xdr:spPr bwMode="auto">
          <a:xfrm flipH="1">
            <a:off x="396" y="315"/>
            <a:ext cx="191"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6428" name="Line 111">
            <a:extLst>
              <a:ext uri="{FF2B5EF4-FFF2-40B4-BE49-F238E27FC236}">
                <a16:creationId xmlns:a16="http://schemas.microsoft.com/office/drawing/2014/main" id="{00000000-0008-0000-0100-00003C670000}"/>
              </a:ext>
            </a:extLst>
          </xdr:cNvPr>
          <xdr:cNvSpPr>
            <a:spLocks noChangeShapeType="1"/>
          </xdr:cNvSpPr>
        </xdr:nvSpPr>
        <xdr:spPr bwMode="auto">
          <a:xfrm flipH="1" flipV="1">
            <a:off x="587" y="315"/>
            <a:ext cx="10" cy="1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14</xdr:col>
      <xdr:colOff>166370</xdr:colOff>
      <xdr:row>7</xdr:row>
      <xdr:rowOff>0</xdr:rowOff>
    </xdr:from>
    <xdr:to>
      <xdr:col>16</xdr:col>
      <xdr:colOff>440727</xdr:colOff>
      <xdr:row>7</xdr:row>
      <xdr:rowOff>141194</xdr:rowOff>
    </xdr:to>
    <xdr:sp macro="" textlink="">
      <xdr:nvSpPr>
        <xdr:cNvPr id="7258" name="Text Box 90">
          <a:extLst>
            <a:ext uri="{FF2B5EF4-FFF2-40B4-BE49-F238E27FC236}">
              <a16:creationId xmlns:a16="http://schemas.microsoft.com/office/drawing/2014/main" id="{00000000-0008-0000-0100-00005A1C0000}"/>
            </a:ext>
          </a:extLst>
        </xdr:cNvPr>
        <xdr:cNvSpPr txBox="1">
          <a:spLocks noChangeArrowheads="1"/>
        </xdr:cNvSpPr>
      </xdr:nvSpPr>
      <xdr:spPr bwMode="auto">
        <a:xfrm>
          <a:off x="5819775" y="1076325"/>
          <a:ext cx="1590675" cy="133350"/>
        </a:xfrm>
        <a:prstGeom prst="rect">
          <a:avLst/>
        </a:prstGeom>
        <a:solidFill>
          <a:srgbClr val="FFFFFF"/>
        </a:solidFill>
        <a:ln w="3175">
          <a:solidFill>
            <a:srgbClr val="000000"/>
          </a:solidFill>
          <a:miter lim="800000"/>
          <a:headEnd/>
          <a:tailEnd/>
        </a:ln>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ＭＳ Ｐ明朝"/>
              <a:ea typeface="ＭＳ Ｐ明朝"/>
            </a:rPr>
            <a:t>各物質につきどちらかを選択</a:t>
          </a:r>
        </a:p>
      </xdr:txBody>
    </xdr:sp>
    <xdr:clientData/>
  </xdr:twoCellAnchor>
  <xdr:twoCellAnchor>
    <xdr:from>
      <xdr:col>11</xdr:col>
      <xdr:colOff>0</xdr:colOff>
      <xdr:row>7</xdr:row>
      <xdr:rowOff>68580</xdr:rowOff>
    </xdr:from>
    <xdr:to>
      <xdr:col>14</xdr:col>
      <xdr:colOff>0</xdr:colOff>
      <xdr:row>8</xdr:row>
      <xdr:rowOff>0</xdr:rowOff>
    </xdr:to>
    <xdr:grpSp>
      <xdr:nvGrpSpPr>
        <xdr:cNvPr id="26413" name="Group 139">
          <a:extLst>
            <a:ext uri="{FF2B5EF4-FFF2-40B4-BE49-F238E27FC236}">
              <a16:creationId xmlns:a16="http://schemas.microsoft.com/office/drawing/2014/main" id="{00000000-0008-0000-0100-00002D670000}"/>
            </a:ext>
          </a:extLst>
        </xdr:cNvPr>
        <xdr:cNvGrpSpPr>
          <a:grpSpLocks/>
        </xdr:cNvGrpSpPr>
      </xdr:nvGrpSpPr>
      <xdr:grpSpPr bwMode="auto">
        <a:xfrm>
          <a:off x="3475892" y="1094349"/>
          <a:ext cx="1846385" cy="89682"/>
          <a:chOff x="386" y="315"/>
          <a:chExt cx="211" cy="10"/>
        </a:xfrm>
      </xdr:grpSpPr>
      <xdr:sp macro="" textlink="">
        <xdr:nvSpPr>
          <xdr:cNvPr id="26423" name="Line 140">
            <a:extLst>
              <a:ext uri="{FF2B5EF4-FFF2-40B4-BE49-F238E27FC236}">
                <a16:creationId xmlns:a16="http://schemas.microsoft.com/office/drawing/2014/main" id="{00000000-0008-0000-0100-000037670000}"/>
              </a:ext>
            </a:extLst>
          </xdr:cNvPr>
          <xdr:cNvSpPr>
            <a:spLocks noChangeShapeType="1"/>
          </xdr:cNvSpPr>
        </xdr:nvSpPr>
        <xdr:spPr bwMode="auto">
          <a:xfrm flipH="1">
            <a:off x="386" y="315"/>
            <a:ext cx="10" cy="1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6424" name="Line 141">
            <a:extLst>
              <a:ext uri="{FF2B5EF4-FFF2-40B4-BE49-F238E27FC236}">
                <a16:creationId xmlns:a16="http://schemas.microsoft.com/office/drawing/2014/main" id="{00000000-0008-0000-0100-000038670000}"/>
              </a:ext>
            </a:extLst>
          </xdr:cNvPr>
          <xdr:cNvSpPr>
            <a:spLocks noChangeShapeType="1"/>
          </xdr:cNvSpPr>
        </xdr:nvSpPr>
        <xdr:spPr bwMode="auto">
          <a:xfrm flipH="1">
            <a:off x="396" y="315"/>
            <a:ext cx="191"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6425" name="Line 142">
            <a:extLst>
              <a:ext uri="{FF2B5EF4-FFF2-40B4-BE49-F238E27FC236}">
                <a16:creationId xmlns:a16="http://schemas.microsoft.com/office/drawing/2014/main" id="{00000000-0008-0000-0100-000039670000}"/>
              </a:ext>
            </a:extLst>
          </xdr:cNvPr>
          <xdr:cNvSpPr>
            <a:spLocks noChangeShapeType="1"/>
          </xdr:cNvSpPr>
        </xdr:nvSpPr>
        <xdr:spPr bwMode="auto">
          <a:xfrm flipH="1" flipV="1">
            <a:off x="587" y="315"/>
            <a:ext cx="10" cy="1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11</xdr:col>
      <xdr:colOff>166370</xdr:colOff>
      <xdr:row>7</xdr:row>
      <xdr:rowOff>0</xdr:rowOff>
    </xdr:from>
    <xdr:to>
      <xdr:col>13</xdr:col>
      <xdr:colOff>419759</xdr:colOff>
      <xdr:row>7</xdr:row>
      <xdr:rowOff>141194</xdr:rowOff>
    </xdr:to>
    <xdr:sp macro="" textlink="">
      <xdr:nvSpPr>
        <xdr:cNvPr id="7311" name="Text Box 143">
          <a:extLst>
            <a:ext uri="{FF2B5EF4-FFF2-40B4-BE49-F238E27FC236}">
              <a16:creationId xmlns:a16="http://schemas.microsoft.com/office/drawing/2014/main" id="{00000000-0008-0000-0100-00008F1C0000}"/>
            </a:ext>
          </a:extLst>
        </xdr:cNvPr>
        <xdr:cNvSpPr txBox="1">
          <a:spLocks noChangeArrowheads="1"/>
        </xdr:cNvSpPr>
      </xdr:nvSpPr>
      <xdr:spPr bwMode="auto">
        <a:xfrm>
          <a:off x="3790950" y="1076325"/>
          <a:ext cx="1647825" cy="133350"/>
        </a:xfrm>
        <a:prstGeom prst="rect">
          <a:avLst/>
        </a:prstGeom>
        <a:solidFill>
          <a:srgbClr val="FFFFFF"/>
        </a:solidFill>
        <a:ln w="3175">
          <a:solidFill>
            <a:srgbClr val="000000"/>
          </a:solidFill>
          <a:miter lim="800000"/>
          <a:headEnd/>
          <a:tailEnd/>
        </a:ln>
      </xdr:spPr>
      <xdr:txBody>
        <a:bodyPr vertOverflow="clip" wrap="square" lIns="27432" tIns="22860" rIns="27432" bIns="22860" anchor="ctr" upright="1"/>
        <a:lstStyle/>
        <a:p>
          <a:pPr algn="ctr" rtl="0">
            <a:defRPr sz="1000"/>
          </a:pPr>
          <a:r>
            <a:rPr lang="ja-JP" altLang="en-US" sz="800" b="0" i="0" u="none" strike="noStrike" baseline="0">
              <a:solidFill>
                <a:srgbClr val="000000"/>
              </a:solidFill>
              <a:latin typeface="Times New Roman"/>
              <a:cs typeface="Times New Roman"/>
            </a:rPr>
            <a:t>Select one for each substance.</a:t>
          </a:r>
        </a:p>
      </xdr:txBody>
    </xdr:sp>
    <xdr:clientData/>
  </xdr:twoCellAnchor>
  <xdr:twoCellAnchor>
    <xdr:from>
      <xdr:col>14</xdr:col>
      <xdr:colOff>0</xdr:colOff>
      <xdr:row>7</xdr:row>
      <xdr:rowOff>68580</xdr:rowOff>
    </xdr:from>
    <xdr:to>
      <xdr:col>18</xdr:col>
      <xdr:colOff>0</xdr:colOff>
      <xdr:row>8</xdr:row>
      <xdr:rowOff>0</xdr:rowOff>
    </xdr:to>
    <xdr:grpSp>
      <xdr:nvGrpSpPr>
        <xdr:cNvPr id="26415" name="Group 144">
          <a:extLst>
            <a:ext uri="{FF2B5EF4-FFF2-40B4-BE49-F238E27FC236}">
              <a16:creationId xmlns:a16="http://schemas.microsoft.com/office/drawing/2014/main" id="{00000000-0008-0000-0100-00002F670000}"/>
            </a:ext>
          </a:extLst>
        </xdr:cNvPr>
        <xdr:cNvGrpSpPr>
          <a:grpSpLocks/>
        </xdr:cNvGrpSpPr>
      </xdr:nvGrpSpPr>
      <xdr:grpSpPr bwMode="auto">
        <a:xfrm>
          <a:off x="5322277" y="1094349"/>
          <a:ext cx="1746738" cy="89682"/>
          <a:chOff x="386" y="315"/>
          <a:chExt cx="211" cy="10"/>
        </a:xfrm>
      </xdr:grpSpPr>
      <xdr:sp macro="" textlink="">
        <xdr:nvSpPr>
          <xdr:cNvPr id="26420" name="Line 145">
            <a:extLst>
              <a:ext uri="{FF2B5EF4-FFF2-40B4-BE49-F238E27FC236}">
                <a16:creationId xmlns:a16="http://schemas.microsoft.com/office/drawing/2014/main" id="{00000000-0008-0000-0100-000034670000}"/>
              </a:ext>
            </a:extLst>
          </xdr:cNvPr>
          <xdr:cNvSpPr>
            <a:spLocks noChangeShapeType="1"/>
          </xdr:cNvSpPr>
        </xdr:nvSpPr>
        <xdr:spPr bwMode="auto">
          <a:xfrm flipH="1">
            <a:off x="386" y="315"/>
            <a:ext cx="10" cy="1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6421" name="Line 146">
            <a:extLst>
              <a:ext uri="{FF2B5EF4-FFF2-40B4-BE49-F238E27FC236}">
                <a16:creationId xmlns:a16="http://schemas.microsoft.com/office/drawing/2014/main" id="{00000000-0008-0000-0100-000035670000}"/>
              </a:ext>
            </a:extLst>
          </xdr:cNvPr>
          <xdr:cNvSpPr>
            <a:spLocks noChangeShapeType="1"/>
          </xdr:cNvSpPr>
        </xdr:nvSpPr>
        <xdr:spPr bwMode="auto">
          <a:xfrm flipH="1">
            <a:off x="396" y="315"/>
            <a:ext cx="191"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6422" name="Line 147">
            <a:extLst>
              <a:ext uri="{FF2B5EF4-FFF2-40B4-BE49-F238E27FC236}">
                <a16:creationId xmlns:a16="http://schemas.microsoft.com/office/drawing/2014/main" id="{00000000-0008-0000-0100-000036670000}"/>
              </a:ext>
            </a:extLst>
          </xdr:cNvPr>
          <xdr:cNvSpPr>
            <a:spLocks noChangeShapeType="1"/>
          </xdr:cNvSpPr>
        </xdr:nvSpPr>
        <xdr:spPr bwMode="auto">
          <a:xfrm flipH="1" flipV="1">
            <a:off x="587" y="315"/>
            <a:ext cx="10" cy="1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14</xdr:col>
      <xdr:colOff>166370</xdr:colOff>
      <xdr:row>7</xdr:row>
      <xdr:rowOff>0</xdr:rowOff>
    </xdr:from>
    <xdr:to>
      <xdr:col>16</xdr:col>
      <xdr:colOff>440727</xdr:colOff>
      <xdr:row>7</xdr:row>
      <xdr:rowOff>141194</xdr:rowOff>
    </xdr:to>
    <xdr:sp macro="" textlink="">
      <xdr:nvSpPr>
        <xdr:cNvPr id="7316" name="Text Box 148">
          <a:extLst>
            <a:ext uri="{FF2B5EF4-FFF2-40B4-BE49-F238E27FC236}">
              <a16:creationId xmlns:a16="http://schemas.microsoft.com/office/drawing/2014/main" id="{00000000-0008-0000-0100-0000941C0000}"/>
            </a:ext>
          </a:extLst>
        </xdr:cNvPr>
        <xdr:cNvSpPr txBox="1">
          <a:spLocks noChangeArrowheads="1"/>
        </xdr:cNvSpPr>
      </xdr:nvSpPr>
      <xdr:spPr bwMode="auto">
        <a:xfrm>
          <a:off x="5819775" y="1076325"/>
          <a:ext cx="1590675" cy="133350"/>
        </a:xfrm>
        <a:prstGeom prst="rect">
          <a:avLst/>
        </a:prstGeom>
        <a:solidFill>
          <a:srgbClr val="FFFFFF"/>
        </a:solidFill>
        <a:ln w="3175">
          <a:solidFill>
            <a:srgbClr val="000000"/>
          </a:solidFill>
          <a:miter lim="800000"/>
          <a:headEnd/>
          <a:tailEnd/>
        </a:ln>
      </xdr:spPr>
      <xdr:txBody>
        <a:bodyPr vertOverflow="clip" wrap="square" lIns="27432" tIns="22860" rIns="27432" bIns="22860" anchor="ctr" upright="1"/>
        <a:lstStyle/>
        <a:p>
          <a:pPr algn="ctr" rtl="0">
            <a:defRPr sz="1000"/>
          </a:pPr>
          <a:r>
            <a:rPr lang="ja-JP" altLang="en-US" sz="800" b="0" i="0" u="none" strike="noStrike" baseline="0">
              <a:solidFill>
                <a:srgbClr val="000000"/>
              </a:solidFill>
              <a:latin typeface="Times New Roman"/>
              <a:cs typeface="Times New Roman"/>
            </a:rPr>
            <a:t>Select one for each substance.</a:t>
          </a:r>
        </a:p>
      </xdr:txBody>
    </xdr:sp>
    <xdr:clientData/>
  </xdr:twoCellAnchor>
  <xdr:twoCellAnchor editAs="oneCell">
    <xdr:from>
      <xdr:col>12</xdr:col>
      <xdr:colOff>274320</xdr:colOff>
      <xdr:row>65</xdr:row>
      <xdr:rowOff>53340</xdr:rowOff>
    </xdr:from>
    <xdr:to>
      <xdr:col>16</xdr:col>
      <xdr:colOff>541020</xdr:colOff>
      <xdr:row>72</xdr:row>
      <xdr:rowOff>45720</xdr:rowOff>
    </xdr:to>
    <xdr:pic>
      <xdr:nvPicPr>
        <xdr:cNvPr id="26417" name="Picture 149" descr="承認ラン2">
          <a:extLst>
            <a:ext uri="{FF2B5EF4-FFF2-40B4-BE49-F238E27FC236}">
              <a16:creationId xmlns:a16="http://schemas.microsoft.com/office/drawing/2014/main" id="{00000000-0008-0000-0100-00003167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366260" y="10119360"/>
          <a:ext cx="2644140"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14</xdr:col>
      <xdr:colOff>0</xdr:colOff>
      <xdr:row>24</xdr:row>
      <xdr:rowOff>26670</xdr:rowOff>
    </xdr:from>
    <xdr:to>
      <xdr:col>18</xdr:col>
      <xdr:colOff>997</xdr:colOff>
      <xdr:row>28</xdr:row>
      <xdr:rowOff>150495</xdr:rowOff>
    </xdr:to>
    <xdr:sp macro="" textlink="">
      <xdr:nvSpPr>
        <xdr:cNvPr id="165" name="四角形吹き出し 164">
          <a:extLst>
            <a:ext uri="{FF2B5EF4-FFF2-40B4-BE49-F238E27FC236}">
              <a16:creationId xmlns:a16="http://schemas.microsoft.com/office/drawing/2014/main" id="{00000000-0008-0000-0100-0000A5000000}"/>
            </a:ext>
          </a:extLst>
        </xdr:cNvPr>
        <xdr:cNvSpPr/>
      </xdr:nvSpPr>
      <xdr:spPr>
        <a:xfrm>
          <a:off x="5939518" y="3999139"/>
          <a:ext cx="1937656" cy="776968"/>
        </a:xfrm>
        <a:prstGeom prst="wedgeRectCallout">
          <a:avLst>
            <a:gd name="adj1" fmla="val 12825"/>
            <a:gd name="adj2" fmla="val 91386"/>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chemeClr val="tx1"/>
              </a:solidFill>
            </a:rPr>
            <a:t>In case of choosing the regulation exclusion item in item 20, entry is unnecessary</a:t>
          </a:r>
          <a:r>
            <a:rPr kumimoji="1" lang="en-US" altLang="ja-JP" sz="1100" b="1">
              <a:solidFill>
                <a:srgbClr val="FF0000"/>
              </a:solidFill>
            </a:rPr>
            <a:t>.</a:t>
          </a:r>
        </a:p>
        <a:p>
          <a:pPr algn="l"/>
          <a:endParaRPr kumimoji="1" lang="ja-JP" altLang="en-US" sz="1100" b="1">
            <a:solidFill>
              <a:srgbClr val="FF0000"/>
            </a:solidFill>
          </a:endParaRPr>
        </a:p>
      </xdr:txBody>
    </xdr:sp>
    <xdr:clientData/>
  </xdr:twoCellAnchor>
  <mc:AlternateContent xmlns:mc="http://schemas.openxmlformats.org/markup-compatibility/2006">
    <mc:Choice xmlns:a14="http://schemas.microsoft.com/office/drawing/2010/main" Requires="a14">
      <xdr:twoCellAnchor editAs="oneCell">
        <xdr:from>
          <xdr:col>16</xdr:col>
          <xdr:colOff>205740</xdr:colOff>
          <xdr:row>5</xdr:row>
          <xdr:rowOff>0</xdr:rowOff>
        </xdr:from>
        <xdr:to>
          <xdr:col>16</xdr:col>
          <xdr:colOff>480060</xdr:colOff>
          <xdr:row>6</xdr:row>
          <xdr:rowOff>0</xdr:rowOff>
        </xdr:to>
        <xdr:sp macro="" textlink="">
          <xdr:nvSpPr>
            <xdr:cNvPr id="7305" name="Check Box 137" hidden="1">
              <a:extLst>
                <a:ext uri="{63B3BB69-23CF-44E3-9099-C40C66FF867C}">
                  <a14:compatExt spid="_x0000_s7305"/>
                </a:ext>
                <a:ext uri="{FF2B5EF4-FFF2-40B4-BE49-F238E27FC236}">
                  <a16:creationId xmlns:a16="http://schemas.microsoft.com/office/drawing/2014/main" id="{00000000-0008-0000-0100-00008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228600</xdr:colOff>
          <xdr:row>12</xdr:row>
          <xdr:rowOff>0</xdr:rowOff>
        </xdr:from>
        <xdr:to>
          <xdr:col>12</xdr:col>
          <xdr:colOff>0</xdr:colOff>
          <xdr:row>13</xdr:row>
          <xdr:rowOff>0</xdr:rowOff>
        </xdr:to>
        <xdr:sp macro="" textlink="">
          <xdr:nvSpPr>
            <xdr:cNvPr id="19206" name="Option Button 8966" hidden="1">
              <a:extLst>
                <a:ext uri="{63B3BB69-23CF-44E3-9099-C40C66FF867C}">
                  <a14:compatExt spid="_x0000_s19206"/>
                </a:ext>
                <a:ext uri="{FF2B5EF4-FFF2-40B4-BE49-F238E27FC236}">
                  <a16:creationId xmlns:a16="http://schemas.microsoft.com/office/drawing/2014/main" id="{00000000-0008-0000-0100-000006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228600</xdr:colOff>
          <xdr:row>12</xdr:row>
          <xdr:rowOff>0</xdr:rowOff>
        </xdr:from>
        <xdr:to>
          <xdr:col>13</xdr:col>
          <xdr:colOff>0</xdr:colOff>
          <xdr:row>13</xdr:row>
          <xdr:rowOff>0</xdr:rowOff>
        </xdr:to>
        <xdr:sp macro="" textlink="">
          <xdr:nvSpPr>
            <xdr:cNvPr id="19207" name="Option Button 8967" hidden="1">
              <a:extLst>
                <a:ext uri="{63B3BB69-23CF-44E3-9099-C40C66FF867C}">
                  <a14:compatExt spid="_x0000_s19207"/>
                </a:ext>
                <a:ext uri="{FF2B5EF4-FFF2-40B4-BE49-F238E27FC236}">
                  <a16:creationId xmlns:a16="http://schemas.microsoft.com/office/drawing/2014/main" id="{00000000-0008-0000-0100-000007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13</xdr:col>
          <xdr:colOff>228600</xdr:colOff>
          <xdr:row>12</xdr:row>
          <xdr:rowOff>0</xdr:rowOff>
        </xdr:from>
        <xdr:to>
          <xdr:col>14</xdr:col>
          <xdr:colOff>0</xdr:colOff>
          <xdr:row>13</xdr:row>
          <xdr:rowOff>0</xdr:rowOff>
        </xdr:to>
        <xdr:sp macro="" textlink="">
          <xdr:nvSpPr>
            <xdr:cNvPr id="19208" name="Option Button 8968" hidden="1">
              <a:extLst>
                <a:ext uri="{63B3BB69-23CF-44E3-9099-C40C66FF867C}">
                  <a14:compatExt spid="_x0000_s19208"/>
                </a:ext>
                <a:ext uri="{FF2B5EF4-FFF2-40B4-BE49-F238E27FC236}">
                  <a16:creationId xmlns:a16="http://schemas.microsoft.com/office/drawing/2014/main" id="{00000000-0008-0000-0100-000008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0</xdr:colOff>
          <xdr:row>12</xdr:row>
          <xdr:rowOff>0</xdr:rowOff>
        </xdr:from>
        <xdr:to>
          <xdr:col>14</xdr:col>
          <xdr:colOff>0</xdr:colOff>
          <xdr:row>13</xdr:row>
          <xdr:rowOff>0</xdr:rowOff>
        </xdr:to>
        <xdr:sp macro="" textlink="">
          <xdr:nvSpPr>
            <xdr:cNvPr id="19209" name="Group Box 8969" hidden="1">
              <a:extLst>
                <a:ext uri="{63B3BB69-23CF-44E3-9099-C40C66FF867C}">
                  <a14:compatExt spid="_x0000_s19209"/>
                </a:ext>
                <a:ext uri="{FF2B5EF4-FFF2-40B4-BE49-F238E27FC236}">
                  <a16:creationId xmlns:a16="http://schemas.microsoft.com/office/drawing/2014/main" id="{00000000-0008-0000-0100-0000094B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228600</xdr:colOff>
          <xdr:row>14</xdr:row>
          <xdr:rowOff>0</xdr:rowOff>
        </xdr:from>
        <xdr:to>
          <xdr:col>12</xdr:col>
          <xdr:colOff>0</xdr:colOff>
          <xdr:row>15</xdr:row>
          <xdr:rowOff>0</xdr:rowOff>
        </xdr:to>
        <xdr:sp macro="" textlink="">
          <xdr:nvSpPr>
            <xdr:cNvPr id="19218" name="Option Button 8978" hidden="1">
              <a:extLst>
                <a:ext uri="{63B3BB69-23CF-44E3-9099-C40C66FF867C}">
                  <a14:compatExt spid="_x0000_s19218"/>
                </a:ext>
                <a:ext uri="{FF2B5EF4-FFF2-40B4-BE49-F238E27FC236}">
                  <a16:creationId xmlns:a16="http://schemas.microsoft.com/office/drawing/2014/main" id="{00000000-0008-0000-0100-000012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228600</xdr:colOff>
          <xdr:row>14</xdr:row>
          <xdr:rowOff>0</xdr:rowOff>
        </xdr:from>
        <xdr:to>
          <xdr:col>13</xdr:col>
          <xdr:colOff>0</xdr:colOff>
          <xdr:row>15</xdr:row>
          <xdr:rowOff>0</xdr:rowOff>
        </xdr:to>
        <xdr:sp macro="" textlink="">
          <xdr:nvSpPr>
            <xdr:cNvPr id="19219" name="Option Button 8979" hidden="1">
              <a:extLst>
                <a:ext uri="{63B3BB69-23CF-44E3-9099-C40C66FF867C}">
                  <a14:compatExt spid="_x0000_s19219"/>
                </a:ext>
                <a:ext uri="{FF2B5EF4-FFF2-40B4-BE49-F238E27FC236}">
                  <a16:creationId xmlns:a16="http://schemas.microsoft.com/office/drawing/2014/main" id="{00000000-0008-0000-0100-000013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13</xdr:col>
          <xdr:colOff>228600</xdr:colOff>
          <xdr:row>14</xdr:row>
          <xdr:rowOff>0</xdr:rowOff>
        </xdr:from>
        <xdr:to>
          <xdr:col>14</xdr:col>
          <xdr:colOff>0</xdr:colOff>
          <xdr:row>15</xdr:row>
          <xdr:rowOff>0</xdr:rowOff>
        </xdr:to>
        <xdr:sp macro="" textlink="">
          <xdr:nvSpPr>
            <xdr:cNvPr id="19220" name="Option Button 8980" hidden="1">
              <a:extLst>
                <a:ext uri="{63B3BB69-23CF-44E3-9099-C40C66FF867C}">
                  <a14:compatExt spid="_x0000_s19220"/>
                </a:ext>
                <a:ext uri="{FF2B5EF4-FFF2-40B4-BE49-F238E27FC236}">
                  <a16:creationId xmlns:a16="http://schemas.microsoft.com/office/drawing/2014/main" id="{00000000-0008-0000-0100-000014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0</xdr:colOff>
          <xdr:row>14</xdr:row>
          <xdr:rowOff>0</xdr:rowOff>
        </xdr:from>
        <xdr:to>
          <xdr:col>14</xdr:col>
          <xdr:colOff>0</xdr:colOff>
          <xdr:row>15</xdr:row>
          <xdr:rowOff>0</xdr:rowOff>
        </xdr:to>
        <xdr:sp macro="" textlink="">
          <xdr:nvSpPr>
            <xdr:cNvPr id="19244" name="Group Box 9004" hidden="1">
              <a:extLst>
                <a:ext uri="{63B3BB69-23CF-44E3-9099-C40C66FF867C}">
                  <a14:compatExt spid="_x0000_s19244"/>
                </a:ext>
                <a:ext uri="{FF2B5EF4-FFF2-40B4-BE49-F238E27FC236}">
                  <a16:creationId xmlns:a16="http://schemas.microsoft.com/office/drawing/2014/main" id="{00000000-0008-0000-0100-00002C4B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228600</xdr:colOff>
          <xdr:row>13</xdr:row>
          <xdr:rowOff>0</xdr:rowOff>
        </xdr:from>
        <xdr:to>
          <xdr:col>12</xdr:col>
          <xdr:colOff>0</xdr:colOff>
          <xdr:row>14</xdr:row>
          <xdr:rowOff>0</xdr:rowOff>
        </xdr:to>
        <xdr:sp macro="" textlink="">
          <xdr:nvSpPr>
            <xdr:cNvPr id="19248" name="Option Button 9008" hidden="1">
              <a:extLst>
                <a:ext uri="{63B3BB69-23CF-44E3-9099-C40C66FF867C}">
                  <a14:compatExt spid="_x0000_s19248"/>
                </a:ext>
                <a:ext uri="{FF2B5EF4-FFF2-40B4-BE49-F238E27FC236}">
                  <a16:creationId xmlns:a16="http://schemas.microsoft.com/office/drawing/2014/main" id="{00000000-0008-0000-0100-000030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13</xdr:col>
          <xdr:colOff>228600</xdr:colOff>
          <xdr:row>13</xdr:row>
          <xdr:rowOff>0</xdr:rowOff>
        </xdr:from>
        <xdr:to>
          <xdr:col>14</xdr:col>
          <xdr:colOff>0</xdr:colOff>
          <xdr:row>14</xdr:row>
          <xdr:rowOff>0</xdr:rowOff>
        </xdr:to>
        <xdr:sp macro="" textlink="">
          <xdr:nvSpPr>
            <xdr:cNvPr id="19249" name="Option Button 9009" hidden="1">
              <a:extLst>
                <a:ext uri="{63B3BB69-23CF-44E3-9099-C40C66FF867C}">
                  <a14:compatExt spid="_x0000_s19249"/>
                </a:ext>
                <a:ext uri="{FF2B5EF4-FFF2-40B4-BE49-F238E27FC236}">
                  <a16:creationId xmlns:a16="http://schemas.microsoft.com/office/drawing/2014/main" id="{00000000-0008-0000-0100-000031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0</xdr:colOff>
          <xdr:row>13</xdr:row>
          <xdr:rowOff>0</xdr:rowOff>
        </xdr:from>
        <xdr:to>
          <xdr:col>14</xdr:col>
          <xdr:colOff>0</xdr:colOff>
          <xdr:row>14</xdr:row>
          <xdr:rowOff>0</xdr:rowOff>
        </xdr:to>
        <xdr:sp macro="" textlink="">
          <xdr:nvSpPr>
            <xdr:cNvPr id="19250" name="Group Box 9010" hidden="1">
              <a:extLst>
                <a:ext uri="{63B3BB69-23CF-44E3-9099-C40C66FF867C}">
                  <a14:compatExt spid="_x0000_s19250"/>
                </a:ext>
                <a:ext uri="{FF2B5EF4-FFF2-40B4-BE49-F238E27FC236}">
                  <a16:creationId xmlns:a16="http://schemas.microsoft.com/office/drawing/2014/main" id="{00000000-0008-0000-0100-0000324B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228600</xdr:colOff>
          <xdr:row>15</xdr:row>
          <xdr:rowOff>0</xdr:rowOff>
        </xdr:from>
        <xdr:to>
          <xdr:col>12</xdr:col>
          <xdr:colOff>0</xdr:colOff>
          <xdr:row>16</xdr:row>
          <xdr:rowOff>0</xdr:rowOff>
        </xdr:to>
        <xdr:sp macro="" textlink="">
          <xdr:nvSpPr>
            <xdr:cNvPr id="19251" name="Option Button 9011" hidden="1">
              <a:extLst>
                <a:ext uri="{63B3BB69-23CF-44E3-9099-C40C66FF867C}">
                  <a14:compatExt spid="_x0000_s19251"/>
                </a:ext>
                <a:ext uri="{FF2B5EF4-FFF2-40B4-BE49-F238E27FC236}">
                  <a16:creationId xmlns:a16="http://schemas.microsoft.com/office/drawing/2014/main" id="{00000000-0008-0000-0100-000033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228600</xdr:colOff>
          <xdr:row>15</xdr:row>
          <xdr:rowOff>0</xdr:rowOff>
        </xdr:from>
        <xdr:to>
          <xdr:col>13</xdr:col>
          <xdr:colOff>0</xdr:colOff>
          <xdr:row>16</xdr:row>
          <xdr:rowOff>0</xdr:rowOff>
        </xdr:to>
        <xdr:sp macro="" textlink="">
          <xdr:nvSpPr>
            <xdr:cNvPr id="19252" name="Option Button 9012" hidden="1">
              <a:extLst>
                <a:ext uri="{63B3BB69-23CF-44E3-9099-C40C66FF867C}">
                  <a14:compatExt spid="_x0000_s19252"/>
                </a:ext>
                <a:ext uri="{FF2B5EF4-FFF2-40B4-BE49-F238E27FC236}">
                  <a16:creationId xmlns:a16="http://schemas.microsoft.com/office/drawing/2014/main" id="{00000000-0008-0000-0100-000034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13</xdr:col>
          <xdr:colOff>228600</xdr:colOff>
          <xdr:row>15</xdr:row>
          <xdr:rowOff>0</xdr:rowOff>
        </xdr:from>
        <xdr:to>
          <xdr:col>14</xdr:col>
          <xdr:colOff>0</xdr:colOff>
          <xdr:row>16</xdr:row>
          <xdr:rowOff>0</xdr:rowOff>
        </xdr:to>
        <xdr:sp macro="" textlink="">
          <xdr:nvSpPr>
            <xdr:cNvPr id="19253" name="Option Button 9013" hidden="1">
              <a:extLst>
                <a:ext uri="{63B3BB69-23CF-44E3-9099-C40C66FF867C}">
                  <a14:compatExt spid="_x0000_s19253"/>
                </a:ext>
                <a:ext uri="{FF2B5EF4-FFF2-40B4-BE49-F238E27FC236}">
                  <a16:creationId xmlns:a16="http://schemas.microsoft.com/office/drawing/2014/main" id="{00000000-0008-0000-0100-000035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0</xdr:colOff>
          <xdr:row>15</xdr:row>
          <xdr:rowOff>0</xdr:rowOff>
        </xdr:from>
        <xdr:to>
          <xdr:col>14</xdr:col>
          <xdr:colOff>0</xdr:colOff>
          <xdr:row>16</xdr:row>
          <xdr:rowOff>0</xdr:rowOff>
        </xdr:to>
        <xdr:sp macro="" textlink="">
          <xdr:nvSpPr>
            <xdr:cNvPr id="19254" name="Group Box 9014" hidden="1">
              <a:extLst>
                <a:ext uri="{63B3BB69-23CF-44E3-9099-C40C66FF867C}">
                  <a14:compatExt spid="_x0000_s19254"/>
                </a:ext>
                <a:ext uri="{FF2B5EF4-FFF2-40B4-BE49-F238E27FC236}">
                  <a16:creationId xmlns:a16="http://schemas.microsoft.com/office/drawing/2014/main" id="{00000000-0008-0000-0100-0000364B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228600</xdr:colOff>
          <xdr:row>16</xdr:row>
          <xdr:rowOff>0</xdr:rowOff>
        </xdr:from>
        <xdr:to>
          <xdr:col>12</xdr:col>
          <xdr:colOff>0</xdr:colOff>
          <xdr:row>17</xdr:row>
          <xdr:rowOff>0</xdr:rowOff>
        </xdr:to>
        <xdr:sp macro="" textlink="">
          <xdr:nvSpPr>
            <xdr:cNvPr id="19255" name="Option Button 9015" hidden="1">
              <a:extLst>
                <a:ext uri="{63B3BB69-23CF-44E3-9099-C40C66FF867C}">
                  <a14:compatExt spid="_x0000_s19255"/>
                </a:ext>
                <a:ext uri="{FF2B5EF4-FFF2-40B4-BE49-F238E27FC236}">
                  <a16:creationId xmlns:a16="http://schemas.microsoft.com/office/drawing/2014/main" id="{00000000-0008-0000-0100-000037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13</xdr:col>
          <xdr:colOff>228600</xdr:colOff>
          <xdr:row>16</xdr:row>
          <xdr:rowOff>0</xdr:rowOff>
        </xdr:from>
        <xdr:to>
          <xdr:col>14</xdr:col>
          <xdr:colOff>0</xdr:colOff>
          <xdr:row>17</xdr:row>
          <xdr:rowOff>0</xdr:rowOff>
        </xdr:to>
        <xdr:sp macro="" textlink="">
          <xdr:nvSpPr>
            <xdr:cNvPr id="19256" name="Option Button 9016" hidden="1">
              <a:extLst>
                <a:ext uri="{63B3BB69-23CF-44E3-9099-C40C66FF867C}">
                  <a14:compatExt spid="_x0000_s19256"/>
                </a:ext>
                <a:ext uri="{FF2B5EF4-FFF2-40B4-BE49-F238E27FC236}">
                  <a16:creationId xmlns:a16="http://schemas.microsoft.com/office/drawing/2014/main" id="{00000000-0008-0000-0100-000038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0</xdr:colOff>
          <xdr:row>16</xdr:row>
          <xdr:rowOff>0</xdr:rowOff>
        </xdr:from>
        <xdr:to>
          <xdr:col>14</xdr:col>
          <xdr:colOff>0</xdr:colOff>
          <xdr:row>17</xdr:row>
          <xdr:rowOff>0</xdr:rowOff>
        </xdr:to>
        <xdr:sp macro="" textlink="">
          <xdr:nvSpPr>
            <xdr:cNvPr id="19257" name="Group Box 9017" hidden="1">
              <a:extLst>
                <a:ext uri="{63B3BB69-23CF-44E3-9099-C40C66FF867C}">
                  <a14:compatExt spid="_x0000_s19257"/>
                </a:ext>
                <a:ext uri="{FF2B5EF4-FFF2-40B4-BE49-F238E27FC236}">
                  <a16:creationId xmlns:a16="http://schemas.microsoft.com/office/drawing/2014/main" id="{00000000-0008-0000-0100-0000394B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228600</xdr:colOff>
          <xdr:row>18</xdr:row>
          <xdr:rowOff>0</xdr:rowOff>
        </xdr:from>
        <xdr:to>
          <xdr:col>12</xdr:col>
          <xdr:colOff>0</xdr:colOff>
          <xdr:row>19</xdr:row>
          <xdr:rowOff>0</xdr:rowOff>
        </xdr:to>
        <xdr:sp macro="" textlink="">
          <xdr:nvSpPr>
            <xdr:cNvPr id="19261" name="Option Button 9021" hidden="1">
              <a:extLst>
                <a:ext uri="{63B3BB69-23CF-44E3-9099-C40C66FF867C}">
                  <a14:compatExt spid="_x0000_s19261"/>
                </a:ext>
                <a:ext uri="{FF2B5EF4-FFF2-40B4-BE49-F238E27FC236}">
                  <a16:creationId xmlns:a16="http://schemas.microsoft.com/office/drawing/2014/main" id="{00000000-0008-0000-0100-00003D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13</xdr:col>
          <xdr:colOff>228600</xdr:colOff>
          <xdr:row>18</xdr:row>
          <xdr:rowOff>0</xdr:rowOff>
        </xdr:from>
        <xdr:to>
          <xdr:col>14</xdr:col>
          <xdr:colOff>0</xdr:colOff>
          <xdr:row>19</xdr:row>
          <xdr:rowOff>0</xdr:rowOff>
        </xdr:to>
        <xdr:sp macro="" textlink="">
          <xdr:nvSpPr>
            <xdr:cNvPr id="19262" name="Option Button 9022" hidden="1">
              <a:extLst>
                <a:ext uri="{63B3BB69-23CF-44E3-9099-C40C66FF867C}">
                  <a14:compatExt spid="_x0000_s19262"/>
                </a:ext>
                <a:ext uri="{FF2B5EF4-FFF2-40B4-BE49-F238E27FC236}">
                  <a16:creationId xmlns:a16="http://schemas.microsoft.com/office/drawing/2014/main" id="{00000000-0008-0000-0100-00003E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0</xdr:colOff>
          <xdr:row>18</xdr:row>
          <xdr:rowOff>0</xdr:rowOff>
        </xdr:from>
        <xdr:to>
          <xdr:col>14</xdr:col>
          <xdr:colOff>0</xdr:colOff>
          <xdr:row>19</xdr:row>
          <xdr:rowOff>0</xdr:rowOff>
        </xdr:to>
        <xdr:sp macro="" textlink="">
          <xdr:nvSpPr>
            <xdr:cNvPr id="19263" name="Group Box 9023" hidden="1">
              <a:extLst>
                <a:ext uri="{63B3BB69-23CF-44E3-9099-C40C66FF867C}">
                  <a14:compatExt spid="_x0000_s19263"/>
                </a:ext>
                <a:ext uri="{FF2B5EF4-FFF2-40B4-BE49-F238E27FC236}">
                  <a16:creationId xmlns:a16="http://schemas.microsoft.com/office/drawing/2014/main" id="{00000000-0008-0000-0100-00003F4B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228600</xdr:colOff>
          <xdr:row>19</xdr:row>
          <xdr:rowOff>0</xdr:rowOff>
        </xdr:from>
        <xdr:to>
          <xdr:col>12</xdr:col>
          <xdr:colOff>0</xdr:colOff>
          <xdr:row>20</xdr:row>
          <xdr:rowOff>0</xdr:rowOff>
        </xdr:to>
        <xdr:sp macro="" textlink="">
          <xdr:nvSpPr>
            <xdr:cNvPr id="19287" name="Option Button 9047" hidden="1">
              <a:extLst>
                <a:ext uri="{63B3BB69-23CF-44E3-9099-C40C66FF867C}">
                  <a14:compatExt spid="_x0000_s19287"/>
                </a:ext>
                <a:ext uri="{FF2B5EF4-FFF2-40B4-BE49-F238E27FC236}">
                  <a16:creationId xmlns:a16="http://schemas.microsoft.com/office/drawing/2014/main" id="{00000000-0008-0000-0100-000057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13</xdr:col>
          <xdr:colOff>228600</xdr:colOff>
          <xdr:row>19</xdr:row>
          <xdr:rowOff>0</xdr:rowOff>
        </xdr:from>
        <xdr:to>
          <xdr:col>14</xdr:col>
          <xdr:colOff>0</xdr:colOff>
          <xdr:row>20</xdr:row>
          <xdr:rowOff>0</xdr:rowOff>
        </xdr:to>
        <xdr:sp macro="" textlink="">
          <xdr:nvSpPr>
            <xdr:cNvPr id="19288" name="Option Button 9048" hidden="1">
              <a:extLst>
                <a:ext uri="{63B3BB69-23CF-44E3-9099-C40C66FF867C}">
                  <a14:compatExt spid="_x0000_s19288"/>
                </a:ext>
                <a:ext uri="{FF2B5EF4-FFF2-40B4-BE49-F238E27FC236}">
                  <a16:creationId xmlns:a16="http://schemas.microsoft.com/office/drawing/2014/main" id="{00000000-0008-0000-0100-000058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0</xdr:colOff>
          <xdr:row>19</xdr:row>
          <xdr:rowOff>0</xdr:rowOff>
        </xdr:from>
        <xdr:to>
          <xdr:col>14</xdr:col>
          <xdr:colOff>0</xdr:colOff>
          <xdr:row>20</xdr:row>
          <xdr:rowOff>0</xdr:rowOff>
        </xdr:to>
        <xdr:sp macro="" textlink="">
          <xdr:nvSpPr>
            <xdr:cNvPr id="19289" name="Group Box 9049" hidden="1">
              <a:extLst>
                <a:ext uri="{63B3BB69-23CF-44E3-9099-C40C66FF867C}">
                  <a14:compatExt spid="_x0000_s19289"/>
                </a:ext>
                <a:ext uri="{FF2B5EF4-FFF2-40B4-BE49-F238E27FC236}">
                  <a16:creationId xmlns:a16="http://schemas.microsoft.com/office/drawing/2014/main" id="{00000000-0008-0000-0100-0000594B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228600</xdr:colOff>
          <xdr:row>20</xdr:row>
          <xdr:rowOff>0</xdr:rowOff>
        </xdr:from>
        <xdr:to>
          <xdr:col>12</xdr:col>
          <xdr:colOff>0</xdr:colOff>
          <xdr:row>21</xdr:row>
          <xdr:rowOff>0</xdr:rowOff>
        </xdr:to>
        <xdr:sp macro="" textlink="">
          <xdr:nvSpPr>
            <xdr:cNvPr id="19313" name="Option Button 9073" hidden="1">
              <a:extLst>
                <a:ext uri="{63B3BB69-23CF-44E3-9099-C40C66FF867C}">
                  <a14:compatExt spid="_x0000_s19313"/>
                </a:ext>
                <a:ext uri="{FF2B5EF4-FFF2-40B4-BE49-F238E27FC236}">
                  <a16:creationId xmlns:a16="http://schemas.microsoft.com/office/drawing/2014/main" id="{00000000-0008-0000-0100-000071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13</xdr:col>
          <xdr:colOff>228600</xdr:colOff>
          <xdr:row>20</xdr:row>
          <xdr:rowOff>0</xdr:rowOff>
        </xdr:from>
        <xdr:to>
          <xdr:col>14</xdr:col>
          <xdr:colOff>0</xdr:colOff>
          <xdr:row>21</xdr:row>
          <xdr:rowOff>0</xdr:rowOff>
        </xdr:to>
        <xdr:sp macro="" textlink="">
          <xdr:nvSpPr>
            <xdr:cNvPr id="19314" name="Option Button 9074" hidden="1">
              <a:extLst>
                <a:ext uri="{63B3BB69-23CF-44E3-9099-C40C66FF867C}">
                  <a14:compatExt spid="_x0000_s19314"/>
                </a:ext>
                <a:ext uri="{FF2B5EF4-FFF2-40B4-BE49-F238E27FC236}">
                  <a16:creationId xmlns:a16="http://schemas.microsoft.com/office/drawing/2014/main" id="{00000000-0008-0000-0100-000072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0</xdr:colOff>
          <xdr:row>20</xdr:row>
          <xdr:rowOff>0</xdr:rowOff>
        </xdr:from>
        <xdr:to>
          <xdr:col>14</xdr:col>
          <xdr:colOff>0</xdr:colOff>
          <xdr:row>21</xdr:row>
          <xdr:rowOff>0</xdr:rowOff>
        </xdr:to>
        <xdr:sp macro="" textlink="">
          <xdr:nvSpPr>
            <xdr:cNvPr id="19315" name="Group Box 9075" hidden="1">
              <a:extLst>
                <a:ext uri="{63B3BB69-23CF-44E3-9099-C40C66FF867C}">
                  <a14:compatExt spid="_x0000_s19315"/>
                </a:ext>
                <a:ext uri="{FF2B5EF4-FFF2-40B4-BE49-F238E27FC236}">
                  <a16:creationId xmlns:a16="http://schemas.microsoft.com/office/drawing/2014/main" id="{00000000-0008-0000-0100-0000734B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228600</xdr:colOff>
          <xdr:row>21</xdr:row>
          <xdr:rowOff>0</xdr:rowOff>
        </xdr:from>
        <xdr:to>
          <xdr:col>12</xdr:col>
          <xdr:colOff>0</xdr:colOff>
          <xdr:row>22</xdr:row>
          <xdr:rowOff>0</xdr:rowOff>
        </xdr:to>
        <xdr:sp macro="" textlink="">
          <xdr:nvSpPr>
            <xdr:cNvPr id="19316" name="Option Button 9076" hidden="1">
              <a:extLst>
                <a:ext uri="{63B3BB69-23CF-44E3-9099-C40C66FF867C}">
                  <a14:compatExt spid="_x0000_s19316"/>
                </a:ext>
                <a:ext uri="{FF2B5EF4-FFF2-40B4-BE49-F238E27FC236}">
                  <a16:creationId xmlns:a16="http://schemas.microsoft.com/office/drawing/2014/main" id="{00000000-0008-0000-0100-000074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13</xdr:col>
          <xdr:colOff>228600</xdr:colOff>
          <xdr:row>21</xdr:row>
          <xdr:rowOff>0</xdr:rowOff>
        </xdr:from>
        <xdr:to>
          <xdr:col>14</xdr:col>
          <xdr:colOff>0</xdr:colOff>
          <xdr:row>22</xdr:row>
          <xdr:rowOff>0</xdr:rowOff>
        </xdr:to>
        <xdr:sp macro="" textlink="">
          <xdr:nvSpPr>
            <xdr:cNvPr id="19317" name="Option Button 9077" hidden="1">
              <a:extLst>
                <a:ext uri="{63B3BB69-23CF-44E3-9099-C40C66FF867C}">
                  <a14:compatExt spid="_x0000_s19317"/>
                </a:ext>
                <a:ext uri="{FF2B5EF4-FFF2-40B4-BE49-F238E27FC236}">
                  <a16:creationId xmlns:a16="http://schemas.microsoft.com/office/drawing/2014/main" id="{00000000-0008-0000-0100-000075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0</xdr:colOff>
          <xdr:row>21</xdr:row>
          <xdr:rowOff>0</xdr:rowOff>
        </xdr:from>
        <xdr:to>
          <xdr:col>14</xdr:col>
          <xdr:colOff>0</xdr:colOff>
          <xdr:row>22</xdr:row>
          <xdr:rowOff>0</xdr:rowOff>
        </xdr:to>
        <xdr:sp macro="" textlink="">
          <xdr:nvSpPr>
            <xdr:cNvPr id="19318" name="Group Box 9078" hidden="1">
              <a:extLst>
                <a:ext uri="{63B3BB69-23CF-44E3-9099-C40C66FF867C}">
                  <a14:compatExt spid="_x0000_s19318"/>
                </a:ext>
                <a:ext uri="{FF2B5EF4-FFF2-40B4-BE49-F238E27FC236}">
                  <a16:creationId xmlns:a16="http://schemas.microsoft.com/office/drawing/2014/main" id="{00000000-0008-0000-0100-0000764B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228600</xdr:colOff>
          <xdr:row>22</xdr:row>
          <xdr:rowOff>0</xdr:rowOff>
        </xdr:from>
        <xdr:to>
          <xdr:col>12</xdr:col>
          <xdr:colOff>0</xdr:colOff>
          <xdr:row>23</xdr:row>
          <xdr:rowOff>0</xdr:rowOff>
        </xdr:to>
        <xdr:sp macro="" textlink="">
          <xdr:nvSpPr>
            <xdr:cNvPr id="19319" name="Option Button 9079" hidden="1">
              <a:extLst>
                <a:ext uri="{63B3BB69-23CF-44E3-9099-C40C66FF867C}">
                  <a14:compatExt spid="_x0000_s19319"/>
                </a:ext>
                <a:ext uri="{FF2B5EF4-FFF2-40B4-BE49-F238E27FC236}">
                  <a16:creationId xmlns:a16="http://schemas.microsoft.com/office/drawing/2014/main" id="{00000000-0008-0000-0100-000077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13</xdr:col>
          <xdr:colOff>228600</xdr:colOff>
          <xdr:row>22</xdr:row>
          <xdr:rowOff>0</xdr:rowOff>
        </xdr:from>
        <xdr:to>
          <xdr:col>14</xdr:col>
          <xdr:colOff>0</xdr:colOff>
          <xdr:row>23</xdr:row>
          <xdr:rowOff>0</xdr:rowOff>
        </xdr:to>
        <xdr:sp macro="" textlink="">
          <xdr:nvSpPr>
            <xdr:cNvPr id="19320" name="Option Button 9080" hidden="1">
              <a:extLst>
                <a:ext uri="{63B3BB69-23CF-44E3-9099-C40C66FF867C}">
                  <a14:compatExt spid="_x0000_s19320"/>
                </a:ext>
                <a:ext uri="{FF2B5EF4-FFF2-40B4-BE49-F238E27FC236}">
                  <a16:creationId xmlns:a16="http://schemas.microsoft.com/office/drawing/2014/main" id="{00000000-0008-0000-0100-000078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0</xdr:colOff>
          <xdr:row>22</xdr:row>
          <xdr:rowOff>0</xdr:rowOff>
        </xdr:from>
        <xdr:to>
          <xdr:col>14</xdr:col>
          <xdr:colOff>0</xdr:colOff>
          <xdr:row>23</xdr:row>
          <xdr:rowOff>0</xdr:rowOff>
        </xdr:to>
        <xdr:sp macro="" textlink="">
          <xdr:nvSpPr>
            <xdr:cNvPr id="19321" name="Group Box 9081" hidden="1">
              <a:extLst>
                <a:ext uri="{63B3BB69-23CF-44E3-9099-C40C66FF867C}">
                  <a14:compatExt spid="_x0000_s19321"/>
                </a:ext>
                <a:ext uri="{FF2B5EF4-FFF2-40B4-BE49-F238E27FC236}">
                  <a16:creationId xmlns:a16="http://schemas.microsoft.com/office/drawing/2014/main" id="{00000000-0008-0000-0100-0000794B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228600</xdr:colOff>
          <xdr:row>23</xdr:row>
          <xdr:rowOff>0</xdr:rowOff>
        </xdr:from>
        <xdr:to>
          <xdr:col>12</xdr:col>
          <xdr:colOff>0</xdr:colOff>
          <xdr:row>24</xdr:row>
          <xdr:rowOff>0</xdr:rowOff>
        </xdr:to>
        <xdr:sp macro="" textlink="">
          <xdr:nvSpPr>
            <xdr:cNvPr id="19322" name="Option Button 9082" hidden="1">
              <a:extLst>
                <a:ext uri="{63B3BB69-23CF-44E3-9099-C40C66FF867C}">
                  <a14:compatExt spid="_x0000_s19322"/>
                </a:ext>
                <a:ext uri="{FF2B5EF4-FFF2-40B4-BE49-F238E27FC236}">
                  <a16:creationId xmlns:a16="http://schemas.microsoft.com/office/drawing/2014/main" id="{00000000-0008-0000-0100-00007A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228600</xdr:colOff>
          <xdr:row>23</xdr:row>
          <xdr:rowOff>0</xdr:rowOff>
        </xdr:from>
        <xdr:to>
          <xdr:col>14</xdr:col>
          <xdr:colOff>0</xdr:colOff>
          <xdr:row>24</xdr:row>
          <xdr:rowOff>0</xdr:rowOff>
        </xdr:to>
        <xdr:sp macro="" textlink="">
          <xdr:nvSpPr>
            <xdr:cNvPr id="19323" name="Option Button 9083" hidden="1">
              <a:extLst>
                <a:ext uri="{63B3BB69-23CF-44E3-9099-C40C66FF867C}">
                  <a14:compatExt spid="_x0000_s19323"/>
                </a:ext>
                <a:ext uri="{FF2B5EF4-FFF2-40B4-BE49-F238E27FC236}">
                  <a16:creationId xmlns:a16="http://schemas.microsoft.com/office/drawing/2014/main" id="{00000000-0008-0000-0100-00007B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0</xdr:colOff>
          <xdr:row>23</xdr:row>
          <xdr:rowOff>0</xdr:rowOff>
        </xdr:from>
        <xdr:to>
          <xdr:col>14</xdr:col>
          <xdr:colOff>0</xdr:colOff>
          <xdr:row>24</xdr:row>
          <xdr:rowOff>0</xdr:rowOff>
        </xdr:to>
        <xdr:sp macro="" textlink="">
          <xdr:nvSpPr>
            <xdr:cNvPr id="19324" name="Group Box 9084" hidden="1">
              <a:extLst>
                <a:ext uri="{63B3BB69-23CF-44E3-9099-C40C66FF867C}">
                  <a14:compatExt spid="_x0000_s19324"/>
                </a:ext>
                <a:ext uri="{FF2B5EF4-FFF2-40B4-BE49-F238E27FC236}">
                  <a16:creationId xmlns:a16="http://schemas.microsoft.com/office/drawing/2014/main" id="{00000000-0008-0000-0100-00007C4B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228600</xdr:colOff>
          <xdr:row>24</xdr:row>
          <xdr:rowOff>0</xdr:rowOff>
        </xdr:from>
        <xdr:to>
          <xdr:col>12</xdr:col>
          <xdr:colOff>0</xdr:colOff>
          <xdr:row>25</xdr:row>
          <xdr:rowOff>0</xdr:rowOff>
        </xdr:to>
        <xdr:sp macro="" textlink="">
          <xdr:nvSpPr>
            <xdr:cNvPr id="19325" name="Option Button 9085" hidden="1">
              <a:extLst>
                <a:ext uri="{63B3BB69-23CF-44E3-9099-C40C66FF867C}">
                  <a14:compatExt spid="_x0000_s19325"/>
                </a:ext>
                <a:ext uri="{FF2B5EF4-FFF2-40B4-BE49-F238E27FC236}">
                  <a16:creationId xmlns:a16="http://schemas.microsoft.com/office/drawing/2014/main" id="{00000000-0008-0000-0100-00007D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228600</xdr:colOff>
          <xdr:row>24</xdr:row>
          <xdr:rowOff>0</xdr:rowOff>
        </xdr:from>
        <xdr:to>
          <xdr:col>14</xdr:col>
          <xdr:colOff>0</xdr:colOff>
          <xdr:row>25</xdr:row>
          <xdr:rowOff>0</xdr:rowOff>
        </xdr:to>
        <xdr:sp macro="" textlink="">
          <xdr:nvSpPr>
            <xdr:cNvPr id="19326" name="Option Button 9086" hidden="1">
              <a:extLst>
                <a:ext uri="{63B3BB69-23CF-44E3-9099-C40C66FF867C}">
                  <a14:compatExt spid="_x0000_s19326"/>
                </a:ext>
                <a:ext uri="{FF2B5EF4-FFF2-40B4-BE49-F238E27FC236}">
                  <a16:creationId xmlns:a16="http://schemas.microsoft.com/office/drawing/2014/main" id="{00000000-0008-0000-0100-00007E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0</xdr:colOff>
          <xdr:row>24</xdr:row>
          <xdr:rowOff>0</xdr:rowOff>
        </xdr:from>
        <xdr:to>
          <xdr:col>14</xdr:col>
          <xdr:colOff>0</xdr:colOff>
          <xdr:row>25</xdr:row>
          <xdr:rowOff>0</xdr:rowOff>
        </xdr:to>
        <xdr:sp macro="" textlink="">
          <xdr:nvSpPr>
            <xdr:cNvPr id="19327" name="Group Box 9087" hidden="1">
              <a:extLst>
                <a:ext uri="{63B3BB69-23CF-44E3-9099-C40C66FF867C}">
                  <a14:compatExt spid="_x0000_s19327"/>
                </a:ext>
                <a:ext uri="{FF2B5EF4-FFF2-40B4-BE49-F238E27FC236}">
                  <a16:creationId xmlns:a16="http://schemas.microsoft.com/office/drawing/2014/main" id="{00000000-0008-0000-0100-00007F4B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228600</xdr:colOff>
          <xdr:row>25</xdr:row>
          <xdr:rowOff>0</xdr:rowOff>
        </xdr:from>
        <xdr:to>
          <xdr:col>12</xdr:col>
          <xdr:colOff>0</xdr:colOff>
          <xdr:row>26</xdr:row>
          <xdr:rowOff>0</xdr:rowOff>
        </xdr:to>
        <xdr:sp macro="" textlink="">
          <xdr:nvSpPr>
            <xdr:cNvPr id="19328" name="Option Button 9088" hidden="1">
              <a:extLst>
                <a:ext uri="{63B3BB69-23CF-44E3-9099-C40C66FF867C}">
                  <a14:compatExt spid="_x0000_s19328"/>
                </a:ext>
                <a:ext uri="{FF2B5EF4-FFF2-40B4-BE49-F238E27FC236}">
                  <a16:creationId xmlns:a16="http://schemas.microsoft.com/office/drawing/2014/main" id="{00000000-0008-0000-0100-000080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228600</xdr:colOff>
          <xdr:row>25</xdr:row>
          <xdr:rowOff>0</xdr:rowOff>
        </xdr:from>
        <xdr:to>
          <xdr:col>14</xdr:col>
          <xdr:colOff>0</xdr:colOff>
          <xdr:row>26</xdr:row>
          <xdr:rowOff>0</xdr:rowOff>
        </xdr:to>
        <xdr:sp macro="" textlink="">
          <xdr:nvSpPr>
            <xdr:cNvPr id="19329" name="Option Button 9089" hidden="1">
              <a:extLst>
                <a:ext uri="{63B3BB69-23CF-44E3-9099-C40C66FF867C}">
                  <a14:compatExt spid="_x0000_s19329"/>
                </a:ext>
                <a:ext uri="{FF2B5EF4-FFF2-40B4-BE49-F238E27FC236}">
                  <a16:creationId xmlns:a16="http://schemas.microsoft.com/office/drawing/2014/main" id="{00000000-0008-0000-0100-000081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0</xdr:colOff>
          <xdr:row>25</xdr:row>
          <xdr:rowOff>0</xdr:rowOff>
        </xdr:from>
        <xdr:to>
          <xdr:col>14</xdr:col>
          <xdr:colOff>0</xdr:colOff>
          <xdr:row>26</xdr:row>
          <xdr:rowOff>0</xdr:rowOff>
        </xdr:to>
        <xdr:sp macro="" textlink="">
          <xdr:nvSpPr>
            <xdr:cNvPr id="19330" name="Group Box 9090" hidden="1">
              <a:extLst>
                <a:ext uri="{63B3BB69-23CF-44E3-9099-C40C66FF867C}">
                  <a14:compatExt spid="_x0000_s19330"/>
                </a:ext>
                <a:ext uri="{FF2B5EF4-FFF2-40B4-BE49-F238E27FC236}">
                  <a16:creationId xmlns:a16="http://schemas.microsoft.com/office/drawing/2014/main" id="{00000000-0008-0000-0100-0000824B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228600</xdr:colOff>
          <xdr:row>27</xdr:row>
          <xdr:rowOff>0</xdr:rowOff>
        </xdr:from>
        <xdr:to>
          <xdr:col>12</xdr:col>
          <xdr:colOff>0</xdr:colOff>
          <xdr:row>28</xdr:row>
          <xdr:rowOff>0</xdr:rowOff>
        </xdr:to>
        <xdr:sp macro="" textlink="">
          <xdr:nvSpPr>
            <xdr:cNvPr id="19334" name="Option Button 9094" hidden="1">
              <a:extLst>
                <a:ext uri="{63B3BB69-23CF-44E3-9099-C40C66FF867C}">
                  <a14:compatExt spid="_x0000_s19334"/>
                </a:ext>
                <a:ext uri="{FF2B5EF4-FFF2-40B4-BE49-F238E27FC236}">
                  <a16:creationId xmlns:a16="http://schemas.microsoft.com/office/drawing/2014/main" id="{00000000-0008-0000-0100-000086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228600</xdr:colOff>
          <xdr:row>27</xdr:row>
          <xdr:rowOff>0</xdr:rowOff>
        </xdr:from>
        <xdr:to>
          <xdr:col>14</xdr:col>
          <xdr:colOff>0</xdr:colOff>
          <xdr:row>28</xdr:row>
          <xdr:rowOff>0</xdr:rowOff>
        </xdr:to>
        <xdr:sp macro="" textlink="">
          <xdr:nvSpPr>
            <xdr:cNvPr id="19335" name="Option Button 9095" hidden="1">
              <a:extLst>
                <a:ext uri="{63B3BB69-23CF-44E3-9099-C40C66FF867C}">
                  <a14:compatExt spid="_x0000_s19335"/>
                </a:ext>
                <a:ext uri="{FF2B5EF4-FFF2-40B4-BE49-F238E27FC236}">
                  <a16:creationId xmlns:a16="http://schemas.microsoft.com/office/drawing/2014/main" id="{00000000-0008-0000-0100-000087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0</xdr:colOff>
          <xdr:row>27</xdr:row>
          <xdr:rowOff>0</xdr:rowOff>
        </xdr:from>
        <xdr:to>
          <xdr:col>14</xdr:col>
          <xdr:colOff>0</xdr:colOff>
          <xdr:row>28</xdr:row>
          <xdr:rowOff>0</xdr:rowOff>
        </xdr:to>
        <xdr:sp macro="" textlink="">
          <xdr:nvSpPr>
            <xdr:cNvPr id="19336" name="Group Box 9096" hidden="1">
              <a:extLst>
                <a:ext uri="{63B3BB69-23CF-44E3-9099-C40C66FF867C}">
                  <a14:compatExt spid="_x0000_s19336"/>
                </a:ext>
                <a:ext uri="{FF2B5EF4-FFF2-40B4-BE49-F238E27FC236}">
                  <a16:creationId xmlns:a16="http://schemas.microsoft.com/office/drawing/2014/main" id="{00000000-0008-0000-0100-0000884B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228600</xdr:colOff>
          <xdr:row>28</xdr:row>
          <xdr:rowOff>0</xdr:rowOff>
        </xdr:from>
        <xdr:to>
          <xdr:col>12</xdr:col>
          <xdr:colOff>0</xdr:colOff>
          <xdr:row>29</xdr:row>
          <xdr:rowOff>0</xdr:rowOff>
        </xdr:to>
        <xdr:sp macro="" textlink="">
          <xdr:nvSpPr>
            <xdr:cNvPr id="19360" name="Option Button 9120" hidden="1">
              <a:extLst>
                <a:ext uri="{63B3BB69-23CF-44E3-9099-C40C66FF867C}">
                  <a14:compatExt spid="_x0000_s19360"/>
                </a:ext>
                <a:ext uri="{FF2B5EF4-FFF2-40B4-BE49-F238E27FC236}">
                  <a16:creationId xmlns:a16="http://schemas.microsoft.com/office/drawing/2014/main" id="{00000000-0008-0000-0100-0000A0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228600</xdr:colOff>
          <xdr:row>28</xdr:row>
          <xdr:rowOff>0</xdr:rowOff>
        </xdr:from>
        <xdr:to>
          <xdr:col>14</xdr:col>
          <xdr:colOff>0</xdr:colOff>
          <xdr:row>29</xdr:row>
          <xdr:rowOff>0</xdr:rowOff>
        </xdr:to>
        <xdr:sp macro="" textlink="">
          <xdr:nvSpPr>
            <xdr:cNvPr id="19361" name="Option Button 9121" hidden="1">
              <a:extLst>
                <a:ext uri="{63B3BB69-23CF-44E3-9099-C40C66FF867C}">
                  <a14:compatExt spid="_x0000_s19361"/>
                </a:ext>
                <a:ext uri="{FF2B5EF4-FFF2-40B4-BE49-F238E27FC236}">
                  <a16:creationId xmlns:a16="http://schemas.microsoft.com/office/drawing/2014/main" id="{00000000-0008-0000-0100-0000A1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0</xdr:colOff>
          <xdr:row>28</xdr:row>
          <xdr:rowOff>0</xdr:rowOff>
        </xdr:from>
        <xdr:to>
          <xdr:col>14</xdr:col>
          <xdr:colOff>0</xdr:colOff>
          <xdr:row>29</xdr:row>
          <xdr:rowOff>0</xdr:rowOff>
        </xdr:to>
        <xdr:sp macro="" textlink="">
          <xdr:nvSpPr>
            <xdr:cNvPr id="19362" name="Group Box 9122" hidden="1">
              <a:extLst>
                <a:ext uri="{63B3BB69-23CF-44E3-9099-C40C66FF867C}">
                  <a14:compatExt spid="_x0000_s19362"/>
                </a:ext>
                <a:ext uri="{FF2B5EF4-FFF2-40B4-BE49-F238E27FC236}">
                  <a16:creationId xmlns:a16="http://schemas.microsoft.com/office/drawing/2014/main" id="{00000000-0008-0000-0100-0000A24B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228600</xdr:colOff>
          <xdr:row>29</xdr:row>
          <xdr:rowOff>0</xdr:rowOff>
        </xdr:from>
        <xdr:to>
          <xdr:col>12</xdr:col>
          <xdr:colOff>0</xdr:colOff>
          <xdr:row>30</xdr:row>
          <xdr:rowOff>0</xdr:rowOff>
        </xdr:to>
        <xdr:sp macro="" textlink="">
          <xdr:nvSpPr>
            <xdr:cNvPr id="19363" name="Option Button 9123" hidden="1">
              <a:extLst>
                <a:ext uri="{63B3BB69-23CF-44E3-9099-C40C66FF867C}">
                  <a14:compatExt spid="_x0000_s19363"/>
                </a:ext>
                <a:ext uri="{FF2B5EF4-FFF2-40B4-BE49-F238E27FC236}">
                  <a16:creationId xmlns:a16="http://schemas.microsoft.com/office/drawing/2014/main" id="{00000000-0008-0000-0100-0000A3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228600</xdr:colOff>
          <xdr:row>29</xdr:row>
          <xdr:rowOff>0</xdr:rowOff>
        </xdr:from>
        <xdr:to>
          <xdr:col>14</xdr:col>
          <xdr:colOff>0</xdr:colOff>
          <xdr:row>30</xdr:row>
          <xdr:rowOff>0</xdr:rowOff>
        </xdr:to>
        <xdr:sp macro="" textlink="">
          <xdr:nvSpPr>
            <xdr:cNvPr id="19364" name="Option Button 9124" hidden="1">
              <a:extLst>
                <a:ext uri="{63B3BB69-23CF-44E3-9099-C40C66FF867C}">
                  <a14:compatExt spid="_x0000_s19364"/>
                </a:ext>
                <a:ext uri="{FF2B5EF4-FFF2-40B4-BE49-F238E27FC236}">
                  <a16:creationId xmlns:a16="http://schemas.microsoft.com/office/drawing/2014/main" id="{00000000-0008-0000-0100-0000A4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0</xdr:colOff>
          <xdr:row>29</xdr:row>
          <xdr:rowOff>0</xdr:rowOff>
        </xdr:from>
        <xdr:to>
          <xdr:col>14</xdr:col>
          <xdr:colOff>0</xdr:colOff>
          <xdr:row>30</xdr:row>
          <xdr:rowOff>0</xdr:rowOff>
        </xdr:to>
        <xdr:sp macro="" textlink="">
          <xdr:nvSpPr>
            <xdr:cNvPr id="19365" name="Group Box 9125" hidden="1">
              <a:extLst>
                <a:ext uri="{63B3BB69-23CF-44E3-9099-C40C66FF867C}">
                  <a14:compatExt spid="_x0000_s19365"/>
                </a:ext>
                <a:ext uri="{FF2B5EF4-FFF2-40B4-BE49-F238E27FC236}">
                  <a16:creationId xmlns:a16="http://schemas.microsoft.com/office/drawing/2014/main" id="{00000000-0008-0000-0100-0000A54B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228600</xdr:colOff>
          <xdr:row>30</xdr:row>
          <xdr:rowOff>0</xdr:rowOff>
        </xdr:from>
        <xdr:to>
          <xdr:col>12</xdr:col>
          <xdr:colOff>0</xdr:colOff>
          <xdr:row>31</xdr:row>
          <xdr:rowOff>0</xdr:rowOff>
        </xdr:to>
        <xdr:sp macro="" textlink="">
          <xdr:nvSpPr>
            <xdr:cNvPr id="19366" name="Option Button 9126" hidden="1">
              <a:extLst>
                <a:ext uri="{63B3BB69-23CF-44E3-9099-C40C66FF867C}">
                  <a14:compatExt spid="_x0000_s19366"/>
                </a:ext>
                <a:ext uri="{FF2B5EF4-FFF2-40B4-BE49-F238E27FC236}">
                  <a16:creationId xmlns:a16="http://schemas.microsoft.com/office/drawing/2014/main" id="{00000000-0008-0000-0100-0000A6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228600</xdr:colOff>
          <xdr:row>30</xdr:row>
          <xdr:rowOff>0</xdr:rowOff>
        </xdr:from>
        <xdr:to>
          <xdr:col>14</xdr:col>
          <xdr:colOff>0</xdr:colOff>
          <xdr:row>31</xdr:row>
          <xdr:rowOff>0</xdr:rowOff>
        </xdr:to>
        <xdr:sp macro="" textlink="">
          <xdr:nvSpPr>
            <xdr:cNvPr id="19367" name="Option Button 9127" hidden="1">
              <a:extLst>
                <a:ext uri="{63B3BB69-23CF-44E3-9099-C40C66FF867C}">
                  <a14:compatExt spid="_x0000_s19367"/>
                </a:ext>
                <a:ext uri="{FF2B5EF4-FFF2-40B4-BE49-F238E27FC236}">
                  <a16:creationId xmlns:a16="http://schemas.microsoft.com/office/drawing/2014/main" id="{00000000-0008-0000-0100-0000A7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0</xdr:colOff>
          <xdr:row>30</xdr:row>
          <xdr:rowOff>0</xdr:rowOff>
        </xdr:from>
        <xdr:to>
          <xdr:col>14</xdr:col>
          <xdr:colOff>0</xdr:colOff>
          <xdr:row>31</xdr:row>
          <xdr:rowOff>0</xdr:rowOff>
        </xdr:to>
        <xdr:sp macro="" textlink="">
          <xdr:nvSpPr>
            <xdr:cNvPr id="19368" name="Group Box 9128" hidden="1">
              <a:extLst>
                <a:ext uri="{63B3BB69-23CF-44E3-9099-C40C66FF867C}">
                  <a14:compatExt spid="_x0000_s19368"/>
                </a:ext>
                <a:ext uri="{FF2B5EF4-FFF2-40B4-BE49-F238E27FC236}">
                  <a16:creationId xmlns:a16="http://schemas.microsoft.com/office/drawing/2014/main" id="{00000000-0008-0000-0100-0000A84B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228600</xdr:colOff>
          <xdr:row>31</xdr:row>
          <xdr:rowOff>0</xdr:rowOff>
        </xdr:from>
        <xdr:to>
          <xdr:col>12</xdr:col>
          <xdr:colOff>0</xdr:colOff>
          <xdr:row>32</xdr:row>
          <xdr:rowOff>0</xdr:rowOff>
        </xdr:to>
        <xdr:sp macro="" textlink="">
          <xdr:nvSpPr>
            <xdr:cNvPr id="19392" name="Option Button 9152" hidden="1">
              <a:extLst>
                <a:ext uri="{63B3BB69-23CF-44E3-9099-C40C66FF867C}">
                  <a14:compatExt spid="_x0000_s19392"/>
                </a:ext>
                <a:ext uri="{FF2B5EF4-FFF2-40B4-BE49-F238E27FC236}">
                  <a16:creationId xmlns:a16="http://schemas.microsoft.com/office/drawing/2014/main" id="{00000000-0008-0000-0100-0000C0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228600</xdr:colOff>
          <xdr:row>31</xdr:row>
          <xdr:rowOff>0</xdr:rowOff>
        </xdr:from>
        <xdr:to>
          <xdr:col>13</xdr:col>
          <xdr:colOff>0</xdr:colOff>
          <xdr:row>32</xdr:row>
          <xdr:rowOff>0</xdr:rowOff>
        </xdr:to>
        <xdr:sp macro="" textlink="">
          <xdr:nvSpPr>
            <xdr:cNvPr id="19393" name="Option Button 9153" hidden="1">
              <a:extLst>
                <a:ext uri="{63B3BB69-23CF-44E3-9099-C40C66FF867C}">
                  <a14:compatExt spid="_x0000_s19393"/>
                </a:ext>
                <a:ext uri="{FF2B5EF4-FFF2-40B4-BE49-F238E27FC236}">
                  <a16:creationId xmlns:a16="http://schemas.microsoft.com/office/drawing/2014/main" id="{00000000-0008-0000-0100-0000C1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228600</xdr:colOff>
          <xdr:row>31</xdr:row>
          <xdr:rowOff>0</xdr:rowOff>
        </xdr:from>
        <xdr:to>
          <xdr:col>14</xdr:col>
          <xdr:colOff>0</xdr:colOff>
          <xdr:row>32</xdr:row>
          <xdr:rowOff>0</xdr:rowOff>
        </xdr:to>
        <xdr:sp macro="" textlink="">
          <xdr:nvSpPr>
            <xdr:cNvPr id="19394" name="Option Button 9154" hidden="1">
              <a:extLst>
                <a:ext uri="{63B3BB69-23CF-44E3-9099-C40C66FF867C}">
                  <a14:compatExt spid="_x0000_s19394"/>
                </a:ext>
                <a:ext uri="{FF2B5EF4-FFF2-40B4-BE49-F238E27FC236}">
                  <a16:creationId xmlns:a16="http://schemas.microsoft.com/office/drawing/2014/main" id="{00000000-0008-0000-0100-0000C2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0</xdr:colOff>
          <xdr:row>31</xdr:row>
          <xdr:rowOff>0</xdr:rowOff>
        </xdr:from>
        <xdr:to>
          <xdr:col>14</xdr:col>
          <xdr:colOff>0</xdr:colOff>
          <xdr:row>32</xdr:row>
          <xdr:rowOff>0</xdr:rowOff>
        </xdr:to>
        <xdr:sp macro="" textlink="">
          <xdr:nvSpPr>
            <xdr:cNvPr id="19395" name="Group Box 9155" hidden="1">
              <a:extLst>
                <a:ext uri="{63B3BB69-23CF-44E3-9099-C40C66FF867C}">
                  <a14:compatExt spid="_x0000_s19395"/>
                </a:ext>
                <a:ext uri="{FF2B5EF4-FFF2-40B4-BE49-F238E27FC236}">
                  <a16:creationId xmlns:a16="http://schemas.microsoft.com/office/drawing/2014/main" id="{00000000-0008-0000-0100-0000C34B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228600</xdr:colOff>
          <xdr:row>32</xdr:row>
          <xdr:rowOff>0</xdr:rowOff>
        </xdr:from>
        <xdr:to>
          <xdr:col>12</xdr:col>
          <xdr:colOff>0</xdr:colOff>
          <xdr:row>33</xdr:row>
          <xdr:rowOff>0</xdr:rowOff>
        </xdr:to>
        <xdr:sp macro="" textlink="">
          <xdr:nvSpPr>
            <xdr:cNvPr id="19396" name="Option Button 9156" hidden="1">
              <a:extLst>
                <a:ext uri="{63B3BB69-23CF-44E3-9099-C40C66FF867C}">
                  <a14:compatExt spid="_x0000_s19396"/>
                </a:ext>
                <a:ext uri="{FF2B5EF4-FFF2-40B4-BE49-F238E27FC236}">
                  <a16:creationId xmlns:a16="http://schemas.microsoft.com/office/drawing/2014/main" id="{00000000-0008-0000-0100-0000C4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228600</xdr:colOff>
          <xdr:row>32</xdr:row>
          <xdr:rowOff>0</xdr:rowOff>
        </xdr:from>
        <xdr:to>
          <xdr:col>14</xdr:col>
          <xdr:colOff>0</xdr:colOff>
          <xdr:row>33</xdr:row>
          <xdr:rowOff>0</xdr:rowOff>
        </xdr:to>
        <xdr:sp macro="" textlink="">
          <xdr:nvSpPr>
            <xdr:cNvPr id="19397" name="Option Button 9157" hidden="1">
              <a:extLst>
                <a:ext uri="{63B3BB69-23CF-44E3-9099-C40C66FF867C}">
                  <a14:compatExt spid="_x0000_s19397"/>
                </a:ext>
                <a:ext uri="{FF2B5EF4-FFF2-40B4-BE49-F238E27FC236}">
                  <a16:creationId xmlns:a16="http://schemas.microsoft.com/office/drawing/2014/main" id="{00000000-0008-0000-0100-0000C5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0</xdr:colOff>
          <xdr:row>32</xdr:row>
          <xdr:rowOff>0</xdr:rowOff>
        </xdr:from>
        <xdr:to>
          <xdr:col>14</xdr:col>
          <xdr:colOff>0</xdr:colOff>
          <xdr:row>33</xdr:row>
          <xdr:rowOff>0</xdr:rowOff>
        </xdr:to>
        <xdr:sp macro="" textlink="">
          <xdr:nvSpPr>
            <xdr:cNvPr id="19398" name="Group Box 9158" hidden="1">
              <a:extLst>
                <a:ext uri="{63B3BB69-23CF-44E3-9099-C40C66FF867C}">
                  <a14:compatExt spid="_x0000_s19398"/>
                </a:ext>
                <a:ext uri="{FF2B5EF4-FFF2-40B4-BE49-F238E27FC236}">
                  <a16:creationId xmlns:a16="http://schemas.microsoft.com/office/drawing/2014/main" id="{00000000-0008-0000-0100-0000C64B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228600</xdr:colOff>
          <xdr:row>35</xdr:row>
          <xdr:rowOff>0</xdr:rowOff>
        </xdr:from>
        <xdr:to>
          <xdr:col>12</xdr:col>
          <xdr:colOff>0</xdr:colOff>
          <xdr:row>36</xdr:row>
          <xdr:rowOff>0</xdr:rowOff>
        </xdr:to>
        <xdr:sp macro="" textlink="">
          <xdr:nvSpPr>
            <xdr:cNvPr id="19399" name="Option Button 9159" hidden="1">
              <a:extLst>
                <a:ext uri="{63B3BB69-23CF-44E3-9099-C40C66FF867C}">
                  <a14:compatExt spid="_x0000_s19399"/>
                </a:ext>
                <a:ext uri="{FF2B5EF4-FFF2-40B4-BE49-F238E27FC236}">
                  <a16:creationId xmlns:a16="http://schemas.microsoft.com/office/drawing/2014/main" id="{00000000-0008-0000-0100-0000C7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228600</xdr:colOff>
          <xdr:row>35</xdr:row>
          <xdr:rowOff>0</xdr:rowOff>
        </xdr:from>
        <xdr:to>
          <xdr:col>13</xdr:col>
          <xdr:colOff>0</xdr:colOff>
          <xdr:row>36</xdr:row>
          <xdr:rowOff>0</xdr:rowOff>
        </xdr:to>
        <xdr:sp macro="" textlink="">
          <xdr:nvSpPr>
            <xdr:cNvPr id="19400" name="Option Button 9160" hidden="1">
              <a:extLst>
                <a:ext uri="{63B3BB69-23CF-44E3-9099-C40C66FF867C}">
                  <a14:compatExt spid="_x0000_s19400"/>
                </a:ext>
                <a:ext uri="{FF2B5EF4-FFF2-40B4-BE49-F238E27FC236}">
                  <a16:creationId xmlns:a16="http://schemas.microsoft.com/office/drawing/2014/main" id="{00000000-0008-0000-0100-0000C8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228600</xdr:colOff>
          <xdr:row>35</xdr:row>
          <xdr:rowOff>0</xdr:rowOff>
        </xdr:from>
        <xdr:to>
          <xdr:col>14</xdr:col>
          <xdr:colOff>0</xdr:colOff>
          <xdr:row>36</xdr:row>
          <xdr:rowOff>0</xdr:rowOff>
        </xdr:to>
        <xdr:sp macro="" textlink="">
          <xdr:nvSpPr>
            <xdr:cNvPr id="19401" name="Option Button 9161" hidden="1">
              <a:extLst>
                <a:ext uri="{63B3BB69-23CF-44E3-9099-C40C66FF867C}">
                  <a14:compatExt spid="_x0000_s19401"/>
                </a:ext>
                <a:ext uri="{FF2B5EF4-FFF2-40B4-BE49-F238E27FC236}">
                  <a16:creationId xmlns:a16="http://schemas.microsoft.com/office/drawing/2014/main" id="{00000000-0008-0000-0100-0000C9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0</xdr:colOff>
          <xdr:row>35</xdr:row>
          <xdr:rowOff>0</xdr:rowOff>
        </xdr:from>
        <xdr:to>
          <xdr:col>14</xdr:col>
          <xdr:colOff>0</xdr:colOff>
          <xdr:row>36</xdr:row>
          <xdr:rowOff>0</xdr:rowOff>
        </xdr:to>
        <xdr:sp macro="" textlink="">
          <xdr:nvSpPr>
            <xdr:cNvPr id="19402" name="Group Box 9162" hidden="1">
              <a:extLst>
                <a:ext uri="{63B3BB69-23CF-44E3-9099-C40C66FF867C}">
                  <a14:compatExt spid="_x0000_s19402"/>
                </a:ext>
                <a:ext uri="{FF2B5EF4-FFF2-40B4-BE49-F238E27FC236}">
                  <a16:creationId xmlns:a16="http://schemas.microsoft.com/office/drawing/2014/main" id="{00000000-0008-0000-0100-0000CA4B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228600</xdr:colOff>
          <xdr:row>36</xdr:row>
          <xdr:rowOff>0</xdr:rowOff>
        </xdr:from>
        <xdr:to>
          <xdr:col>12</xdr:col>
          <xdr:colOff>0</xdr:colOff>
          <xdr:row>37</xdr:row>
          <xdr:rowOff>0</xdr:rowOff>
        </xdr:to>
        <xdr:sp macro="" textlink="">
          <xdr:nvSpPr>
            <xdr:cNvPr id="19426" name="Option Button 9186" hidden="1">
              <a:extLst>
                <a:ext uri="{63B3BB69-23CF-44E3-9099-C40C66FF867C}">
                  <a14:compatExt spid="_x0000_s19426"/>
                </a:ext>
                <a:ext uri="{FF2B5EF4-FFF2-40B4-BE49-F238E27FC236}">
                  <a16:creationId xmlns:a16="http://schemas.microsoft.com/office/drawing/2014/main" id="{00000000-0008-0000-0100-0000E2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228600</xdr:colOff>
          <xdr:row>36</xdr:row>
          <xdr:rowOff>0</xdr:rowOff>
        </xdr:from>
        <xdr:to>
          <xdr:col>13</xdr:col>
          <xdr:colOff>0</xdr:colOff>
          <xdr:row>37</xdr:row>
          <xdr:rowOff>0</xdr:rowOff>
        </xdr:to>
        <xdr:sp macro="" textlink="">
          <xdr:nvSpPr>
            <xdr:cNvPr id="19427" name="Option Button 9187" hidden="1">
              <a:extLst>
                <a:ext uri="{63B3BB69-23CF-44E3-9099-C40C66FF867C}">
                  <a14:compatExt spid="_x0000_s19427"/>
                </a:ext>
                <a:ext uri="{FF2B5EF4-FFF2-40B4-BE49-F238E27FC236}">
                  <a16:creationId xmlns:a16="http://schemas.microsoft.com/office/drawing/2014/main" id="{00000000-0008-0000-0100-0000E3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0</xdr:colOff>
          <xdr:row>36</xdr:row>
          <xdr:rowOff>0</xdr:rowOff>
        </xdr:from>
        <xdr:to>
          <xdr:col>13</xdr:col>
          <xdr:colOff>0</xdr:colOff>
          <xdr:row>37</xdr:row>
          <xdr:rowOff>0</xdr:rowOff>
        </xdr:to>
        <xdr:sp macro="" textlink="">
          <xdr:nvSpPr>
            <xdr:cNvPr id="19428" name="Group Box 9188" hidden="1">
              <a:extLst>
                <a:ext uri="{63B3BB69-23CF-44E3-9099-C40C66FF867C}">
                  <a14:compatExt spid="_x0000_s19428"/>
                </a:ext>
                <a:ext uri="{FF2B5EF4-FFF2-40B4-BE49-F238E27FC236}">
                  <a16:creationId xmlns:a16="http://schemas.microsoft.com/office/drawing/2014/main" id="{00000000-0008-0000-0100-0000E44B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228600</xdr:colOff>
          <xdr:row>37</xdr:row>
          <xdr:rowOff>0</xdr:rowOff>
        </xdr:from>
        <xdr:to>
          <xdr:col>12</xdr:col>
          <xdr:colOff>0</xdr:colOff>
          <xdr:row>38</xdr:row>
          <xdr:rowOff>0</xdr:rowOff>
        </xdr:to>
        <xdr:sp macro="" textlink="">
          <xdr:nvSpPr>
            <xdr:cNvPr id="19429" name="Option Button 9189" hidden="1">
              <a:extLst>
                <a:ext uri="{63B3BB69-23CF-44E3-9099-C40C66FF867C}">
                  <a14:compatExt spid="_x0000_s19429"/>
                </a:ext>
                <a:ext uri="{FF2B5EF4-FFF2-40B4-BE49-F238E27FC236}">
                  <a16:creationId xmlns:a16="http://schemas.microsoft.com/office/drawing/2014/main" id="{00000000-0008-0000-0100-0000E5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228600</xdr:colOff>
          <xdr:row>37</xdr:row>
          <xdr:rowOff>0</xdr:rowOff>
        </xdr:from>
        <xdr:to>
          <xdr:col>13</xdr:col>
          <xdr:colOff>0</xdr:colOff>
          <xdr:row>38</xdr:row>
          <xdr:rowOff>0</xdr:rowOff>
        </xdr:to>
        <xdr:sp macro="" textlink="">
          <xdr:nvSpPr>
            <xdr:cNvPr id="19430" name="Option Button 9190" hidden="1">
              <a:extLst>
                <a:ext uri="{63B3BB69-23CF-44E3-9099-C40C66FF867C}">
                  <a14:compatExt spid="_x0000_s19430"/>
                </a:ext>
                <a:ext uri="{FF2B5EF4-FFF2-40B4-BE49-F238E27FC236}">
                  <a16:creationId xmlns:a16="http://schemas.microsoft.com/office/drawing/2014/main" id="{00000000-0008-0000-0100-0000E6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0</xdr:colOff>
          <xdr:row>37</xdr:row>
          <xdr:rowOff>0</xdr:rowOff>
        </xdr:from>
        <xdr:to>
          <xdr:col>13</xdr:col>
          <xdr:colOff>0</xdr:colOff>
          <xdr:row>38</xdr:row>
          <xdr:rowOff>0</xdr:rowOff>
        </xdr:to>
        <xdr:sp macro="" textlink="">
          <xdr:nvSpPr>
            <xdr:cNvPr id="19431" name="Group Box 9191" hidden="1">
              <a:extLst>
                <a:ext uri="{63B3BB69-23CF-44E3-9099-C40C66FF867C}">
                  <a14:compatExt spid="_x0000_s19431"/>
                </a:ext>
                <a:ext uri="{FF2B5EF4-FFF2-40B4-BE49-F238E27FC236}">
                  <a16:creationId xmlns:a16="http://schemas.microsoft.com/office/drawing/2014/main" id="{00000000-0008-0000-0100-0000E74B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228600</xdr:colOff>
          <xdr:row>39</xdr:row>
          <xdr:rowOff>0</xdr:rowOff>
        </xdr:from>
        <xdr:to>
          <xdr:col>12</xdr:col>
          <xdr:colOff>0</xdr:colOff>
          <xdr:row>40</xdr:row>
          <xdr:rowOff>0</xdr:rowOff>
        </xdr:to>
        <xdr:sp macro="" textlink="">
          <xdr:nvSpPr>
            <xdr:cNvPr id="19432" name="Option Button 9192" hidden="1">
              <a:extLst>
                <a:ext uri="{63B3BB69-23CF-44E3-9099-C40C66FF867C}">
                  <a14:compatExt spid="_x0000_s19432"/>
                </a:ext>
                <a:ext uri="{FF2B5EF4-FFF2-40B4-BE49-F238E27FC236}">
                  <a16:creationId xmlns:a16="http://schemas.microsoft.com/office/drawing/2014/main" id="{00000000-0008-0000-0100-0000E8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228600</xdr:colOff>
          <xdr:row>39</xdr:row>
          <xdr:rowOff>0</xdr:rowOff>
        </xdr:from>
        <xdr:to>
          <xdr:col>13</xdr:col>
          <xdr:colOff>0</xdr:colOff>
          <xdr:row>40</xdr:row>
          <xdr:rowOff>0</xdr:rowOff>
        </xdr:to>
        <xdr:sp macro="" textlink="">
          <xdr:nvSpPr>
            <xdr:cNvPr id="19433" name="Option Button 9193" hidden="1">
              <a:extLst>
                <a:ext uri="{63B3BB69-23CF-44E3-9099-C40C66FF867C}">
                  <a14:compatExt spid="_x0000_s19433"/>
                </a:ext>
                <a:ext uri="{FF2B5EF4-FFF2-40B4-BE49-F238E27FC236}">
                  <a16:creationId xmlns:a16="http://schemas.microsoft.com/office/drawing/2014/main" id="{00000000-0008-0000-0100-0000E9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0</xdr:colOff>
          <xdr:row>39</xdr:row>
          <xdr:rowOff>0</xdr:rowOff>
        </xdr:from>
        <xdr:to>
          <xdr:col>13</xdr:col>
          <xdr:colOff>0</xdr:colOff>
          <xdr:row>40</xdr:row>
          <xdr:rowOff>0</xdr:rowOff>
        </xdr:to>
        <xdr:sp macro="" textlink="">
          <xdr:nvSpPr>
            <xdr:cNvPr id="19434" name="Group Box 9194" hidden="1">
              <a:extLst>
                <a:ext uri="{63B3BB69-23CF-44E3-9099-C40C66FF867C}">
                  <a14:compatExt spid="_x0000_s19434"/>
                </a:ext>
                <a:ext uri="{FF2B5EF4-FFF2-40B4-BE49-F238E27FC236}">
                  <a16:creationId xmlns:a16="http://schemas.microsoft.com/office/drawing/2014/main" id="{00000000-0008-0000-0100-0000EA4B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15</xdr:col>
          <xdr:colOff>220980</xdr:colOff>
          <xdr:row>12</xdr:row>
          <xdr:rowOff>0</xdr:rowOff>
        </xdr:from>
        <xdr:to>
          <xdr:col>16</xdr:col>
          <xdr:colOff>0</xdr:colOff>
          <xdr:row>13</xdr:row>
          <xdr:rowOff>0</xdr:rowOff>
        </xdr:to>
        <xdr:sp macro="" textlink="">
          <xdr:nvSpPr>
            <xdr:cNvPr id="19458" name="Option Button 9218" hidden="1">
              <a:extLst>
                <a:ext uri="{63B3BB69-23CF-44E3-9099-C40C66FF867C}">
                  <a14:compatExt spid="_x0000_s19458"/>
                </a:ext>
                <a:ext uri="{FF2B5EF4-FFF2-40B4-BE49-F238E27FC236}">
                  <a16:creationId xmlns:a16="http://schemas.microsoft.com/office/drawing/2014/main" id="{00000000-0008-0000-0100-000002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220980</xdr:colOff>
          <xdr:row>12</xdr:row>
          <xdr:rowOff>0</xdr:rowOff>
        </xdr:from>
        <xdr:to>
          <xdr:col>17</xdr:col>
          <xdr:colOff>0</xdr:colOff>
          <xdr:row>13</xdr:row>
          <xdr:rowOff>0</xdr:rowOff>
        </xdr:to>
        <xdr:sp macro="" textlink="">
          <xdr:nvSpPr>
            <xdr:cNvPr id="19459" name="Option Button 9219" hidden="1">
              <a:extLst>
                <a:ext uri="{63B3BB69-23CF-44E3-9099-C40C66FF867C}">
                  <a14:compatExt spid="_x0000_s19459"/>
                </a:ext>
                <a:ext uri="{FF2B5EF4-FFF2-40B4-BE49-F238E27FC236}">
                  <a16:creationId xmlns:a16="http://schemas.microsoft.com/office/drawing/2014/main" id="{00000000-0008-0000-0100-000003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15</xdr:col>
          <xdr:colOff>0</xdr:colOff>
          <xdr:row>12</xdr:row>
          <xdr:rowOff>0</xdr:rowOff>
        </xdr:from>
        <xdr:to>
          <xdr:col>17</xdr:col>
          <xdr:colOff>0</xdr:colOff>
          <xdr:row>13</xdr:row>
          <xdr:rowOff>0</xdr:rowOff>
        </xdr:to>
        <xdr:sp macro="" textlink="">
          <xdr:nvSpPr>
            <xdr:cNvPr id="19460" name="Group Box 9220" hidden="1">
              <a:extLst>
                <a:ext uri="{63B3BB69-23CF-44E3-9099-C40C66FF867C}">
                  <a14:compatExt spid="_x0000_s19460"/>
                </a:ext>
                <a:ext uri="{FF2B5EF4-FFF2-40B4-BE49-F238E27FC236}">
                  <a16:creationId xmlns:a16="http://schemas.microsoft.com/office/drawing/2014/main" id="{00000000-0008-0000-0100-0000044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15</xdr:col>
          <xdr:colOff>220980</xdr:colOff>
          <xdr:row>13</xdr:row>
          <xdr:rowOff>0</xdr:rowOff>
        </xdr:from>
        <xdr:to>
          <xdr:col>16</xdr:col>
          <xdr:colOff>0</xdr:colOff>
          <xdr:row>14</xdr:row>
          <xdr:rowOff>0</xdr:rowOff>
        </xdr:to>
        <xdr:sp macro="" textlink="">
          <xdr:nvSpPr>
            <xdr:cNvPr id="19461" name="Option Button 9221" hidden="1">
              <a:extLst>
                <a:ext uri="{63B3BB69-23CF-44E3-9099-C40C66FF867C}">
                  <a14:compatExt spid="_x0000_s19461"/>
                </a:ext>
                <a:ext uri="{FF2B5EF4-FFF2-40B4-BE49-F238E27FC236}">
                  <a16:creationId xmlns:a16="http://schemas.microsoft.com/office/drawing/2014/main" id="{00000000-0008-0000-0100-000005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220980</xdr:colOff>
          <xdr:row>13</xdr:row>
          <xdr:rowOff>0</xdr:rowOff>
        </xdr:from>
        <xdr:to>
          <xdr:col>17</xdr:col>
          <xdr:colOff>0</xdr:colOff>
          <xdr:row>14</xdr:row>
          <xdr:rowOff>0</xdr:rowOff>
        </xdr:to>
        <xdr:sp macro="" textlink="">
          <xdr:nvSpPr>
            <xdr:cNvPr id="19462" name="Option Button 9222" hidden="1">
              <a:extLst>
                <a:ext uri="{63B3BB69-23CF-44E3-9099-C40C66FF867C}">
                  <a14:compatExt spid="_x0000_s19462"/>
                </a:ext>
                <a:ext uri="{FF2B5EF4-FFF2-40B4-BE49-F238E27FC236}">
                  <a16:creationId xmlns:a16="http://schemas.microsoft.com/office/drawing/2014/main" id="{00000000-0008-0000-0100-000006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15</xdr:col>
          <xdr:colOff>0</xdr:colOff>
          <xdr:row>13</xdr:row>
          <xdr:rowOff>0</xdr:rowOff>
        </xdr:from>
        <xdr:to>
          <xdr:col>17</xdr:col>
          <xdr:colOff>0</xdr:colOff>
          <xdr:row>14</xdr:row>
          <xdr:rowOff>0</xdr:rowOff>
        </xdr:to>
        <xdr:sp macro="" textlink="">
          <xdr:nvSpPr>
            <xdr:cNvPr id="19463" name="Group Box 9223" hidden="1">
              <a:extLst>
                <a:ext uri="{63B3BB69-23CF-44E3-9099-C40C66FF867C}">
                  <a14:compatExt spid="_x0000_s19463"/>
                </a:ext>
                <a:ext uri="{FF2B5EF4-FFF2-40B4-BE49-F238E27FC236}">
                  <a16:creationId xmlns:a16="http://schemas.microsoft.com/office/drawing/2014/main" id="{00000000-0008-0000-0100-0000074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15</xdr:col>
          <xdr:colOff>220980</xdr:colOff>
          <xdr:row>14</xdr:row>
          <xdr:rowOff>0</xdr:rowOff>
        </xdr:from>
        <xdr:to>
          <xdr:col>16</xdr:col>
          <xdr:colOff>0</xdr:colOff>
          <xdr:row>15</xdr:row>
          <xdr:rowOff>0</xdr:rowOff>
        </xdr:to>
        <xdr:sp macro="" textlink="">
          <xdr:nvSpPr>
            <xdr:cNvPr id="19464" name="Option Button 9224" hidden="1">
              <a:extLst>
                <a:ext uri="{63B3BB69-23CF-44E3-9099-C40C66FF867C}">
                  <a14:compatExt spid="_x0000_s19464"/>
                </a:ext>
                <a:ext uri="{FF2B5EF4-FFF2-40B4-BE49-F238E27FC236}">
                  <a16:creationId xmlns:a16="http://schemas.microsoft.com/office/drawing/2014/main" id="{00000000-0008-0000-0100-000008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220980</xdr:colOff>
          <xdr:row>14</xdr:row>
          <xdr:rowOff>0</xdr:rowOff>
        </xdr:from>
        <xdr:to>
          <xdr:col>17</xdr:col>
          <xdr:colOff>0</xdr:colOff>
          <xdr:row>15</xdr:row>
          <xdr:rowOff>0</xdr:rowOff>
        </xdr:to>
        <xdr:sp macro="" textlink="">
          <xdr:nvSpPr>
            <xdr:cNvPr id="19465" name="Option Button 9225" hidden="1">
              <a:extLst>
                <a:ext uri="{63B3BB69-23CF-44E3-9099-C40C66FF867C}">
                  <a14:compatExt spid="_x0000_s19465"/>
                </a:ext>
                <a:ext uri="{FF2B5EF4-FFF2-40B4-BE49-F238E27FC236}">
                  <a16:creationId xmlns:a16="http://schemas.microsoft.com/office/drawing/2014/main" id="{00000000-0008-0000-0100-000009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15</xdr:col>
          <xdr:colOff>0</xdr:colOff>
          <xdr:row>14</xdr:row>
          <xdr:rowOff>0</xdr:rowOff>
        </xdr:from>
        <xdr:to>
          <xdr:col>17</xdr:col>
          <xdr:colOff>0</xdr:colOff>
          <xdr:row>15</xdr:row>
          <xdr:rowOff>0</xdr:rowOff>
        </xdr:to>
        <xdr:sp macro="" textlink="">
          <xdr:nvSpPr>
            <xdr:cNvPr id="19466" name="Group Box 9226" hidden="1">
              <a:extLst>
                <a:ext uri="{63B3BB69-23CF-44E3-9099-C40C66FF867C}">
                  <a14:compatExt spid="_x0000_s19466"/>
                </a:ext>
                <a:ext uri="{FF2B5EF4-FFF2-40B4-BE49-F238E27FC236}">
                  <a16:creationId xmlns:a16="http://schemas.microsoft.com/office/drawing/2014/main" id="{00000000-0008-0000-0100-00000A4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15</xdr:col>
          <xdr:colOff>220980</xdr:colOff>
          <xdr:row>15</xdr:row>
          <xdr:rowOff>0</xdr:rowOff>
        </xdr:from>
        <xdr:to>
          <xdr:col>16</xdr:col>
          <xdr:colOff>0</xdr:colOff>
          <xdr:row>16</xdr:row>
          <xdr:rowOff>0</xdr:rowOff>
        </xdr:to>
        <xdr:sp macro="" textlink="">
          <xdr:nvSpPr>
            <xdr:cNvPr id="19467" name="Option Button 9227" hidden="1">
              <a:extLst>
                <a:ext uri="{63B3BB69-23CF-44E3-9099-C40C66FF867C}">
                  <a14:compatExt spid="_x0000_s19467"/>
                </a:ext>
                <a:ext uri="{FF2B5EF4-FFF2-40B4-BE49-F238E27FC236}">
                  <a16:creationId xmlns:a16="http://schemas.microsoft.com/office/drawing/2014/main" id="{00000000-0008-0000-0100-00000B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220980</xdr:colOff>
          <xdr:row>15</xdr:row>
          <xdr:rowOff>0</xdr:rowOff>
        </xdr:from>
        <xdr:to>
          <xdr:col>17</xdr:col>
          <xdr:colOff>0</xdr:colOff>
          <xdr:row>16</xdr:row>
          <xdr:rowOff>0</xdr:rowOff>
        </xdr:to>
        <xdr:sp macro="" textlink="">
          <xdr:nvSpPr>
            <xdr:cNvPr id="19468" name="Option Button 9228" hidden="1">
              <a:extLst>
                <a:ext uri="{63B3BB69-23CF-44E3-9099-C40C66FF867C}">
                  <a14:compatExt spid="_x0000_s19468"/>
                </a:ext>
                <a:ext uri="{FF2B5EF4-FFF2-40B4-BE49-F238E27FC236}">
                  <a16:creationId xmlns:a16="http://schemas.microsoft.com/office/drawing/2014/main" id="{00000000-0008-0000-0100-00000C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15</xdr:col>
          <xdr:colOff>0</xdr:colOff>
          <xdr:row>15</xdr:row>
          <xdr:rowOff>0</xdr:rowOff>
        </xdr:from>
        <xdr:to>
          <xdr:col>17</xdr:col>
          <xdr:colOff>0</xdr:colOff>
          <xdr:row>16</xdr:row>
          <xdr:rowOff>0</xdr:rowOff>
        </xdr:to>
        <xdr:sp macro="" textlink="">
          <xdr:nvSpPr>
            <xdr:cNvPr id="19469" name="Group Box 9229" hidden="1">
              <a:extLst>
                <a:ext uri="{63B3BB69-23CF-44E3-9099-C40C66FF867C}">
                  <a14:compatExt spid="_x0000_s19469"/>
                </a:ext>
                <a:ext uri="{FF2B5EF4-FFF2-40B4-BE49-F238E27FC236}">
                  <a16:creationId xmlns:a16="http://schemas.microsoft.com/office/drawing/2014/main" id="{00000000-0008-0000-0100-00000D4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15</xdr:col>
          <xdr:colOff>220980</xdr:colOff>
          <xdr:row>17</xdr:row>
          <xdr:rowOff>0</xdr:rowOff>
        </xdr:from>
        <xdr:to>
          <xdr:col>16</xdr:col>
          <xdr:colOff>0</xdr:colOff>
          <xdr:row>18</xdr:row>
          <xdr:rowOff>0</xdr:rowOff>
        </xdr:to>
        <xdr:sp macro="" textlink="">
          <xdr:nvSpPr>
            <xdr:cNvPr id="19495" name="Option Button 9255" hidden="1">
              <a:extLst>
                <a:ext uri="{63B3BB69-23CF-44E3-9099-C40C66FF867C}">
                  <a14:compatExt spid="_x0000_s19495"/>
                </a:ext>
                <a:ext uri="{FF2B5EF4-FFF2-40B4-BE49-F238E27FC236}">
                  <a16:creationId xmlns:a16="http://schemas.microsoft.com/office/drawing/2014/main" id="{00000000-0008-0000-0100-000027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220980</xdr:colOff>
          <xdr:row>17</xdr:row>
          <xdr:rowOff>0</xdr:rowOff>
        </xdr:from>
        <xdr:to>
          <xdr:col>17</xdr:col>
          <xdr:colOff>0</xdr:colOff>
          <xdr:row>18</xdr:row>
          <xdr:rowOff>0</xdr:rowOff>
        </xdr:to>
        <xdr:sp macro="" textlink="">
          <xdr:nvSpPr>
            <xdr:cNvPr id="19496" name="Option Button 9256" hidden="1">
              <a:extLst>
                <a:ext uri="{63B3BB69-23CF-44E3-9099-C40C66FF867C}">
                  <a14:compatExt spid="_x0000_s19496"/>
                </a:ext>
                <a:ext uri="{FF2B5EF4-FFF2-40B4-BE49-F238E27FC236}">
                  <a16:creationId xmlns:a16="http://schemas.microsoft.com/office/drawing/2014/main" id="{00000000-0008-0000-0100-000028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15</xdr:col>
          <xdr:colOff>0</xdr:colOff>
          <xdr:row>17</xdr:row>
          <xdr:rowOff>0</xdr:rowOff>
        </xdr:from>
        <xdr:to>
          <xdr:col>17</xdr:col>
          <xdr:colOff>0</xdr:colOff>
          <xdr:row>18</xdr:row>
          <xdr:rowOff>0</xdr:rowOff>
        </xdr:to>
        <xdr:sp macro="" textlink="">
          <xdr:nvSpPr>
            <xdr:cNvPr id="19497" name="Group Box 9257" hidden="1">
              <a:extLst>
                <a:ext uri="{63B3BB69-23CF-44E3-9099-C40C66FF867C}">
                  <a14:compatExt spid="_x0000_s19497"/>
                </a:ext>
                <a:ext uri="{FF2B5EF4-FFF2-40B4-BE49-F238E27FC236}">
                  <a16:creationId xmlns:a16="http://schemas.microsoft.com/office/drawing/2014/main" id="{00000000-0008-0000-0100-0000294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15</xdr:col>
          <xdr:colOff>220980</xdr:colOff>
          <xdr:row>18</xdr:row>
          <xdr:rowOff>0</xdr:rowOff>
        </xdr:from>
        <xdr:to>
          <xdr:col>16</xdr:col>
          <xdr:colOff>0</xdr:colOff>
          <xdr:row>19</xdr:row>
          <xdr:rowOff>0</xdr:rowOff>
        </xdr:to>
        <xdr:sp macro="" textlink="">
          <xdr:nvSpPr>
            <xdr:cNvPr id="19498" name="Option Button 9258" hidden="1">
              <a:extLst>
                <a:ext uri="{63B3BB69-23CF-44E3-9099-C40C66FF867C}">
                  <a14:compatExt spid="_x0000_s19498"/>
                </a:ext>
                <a:ext uri="{FF2B5EF4-FFF2-40B4-BE49-F238E27FC236}">
                  <a16:creationId xmlns:a16="http://schemas.microsoft.com/office/drawing/2014/main" id="{00000000-0008-0000-0100-00002A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220980</xdr:colOff>
          <xdr:row>18</xdr:row>
          <xdr:rowOff>0</xdr:rowOff>
        </xdr:from>
        <xdr:to>
          <xdr:col>17</xdr:col>
          <xdr:colOff>0</xdr:colOff>
          <xdr:row>19</xdr:row>
          <xdr:rowOff>0</xdr:rowOff>
        </xdr:to>
        <xdr:sp macro="" textlink="">
          <xdr:nvSpPr>
            <xdr:cNvPr id="19499" name="Option Button 9259" hidden="1">
              <a:extLst>
                <a:ext uri="{63B3BB69-23CF-44E3-9099-C40C66FF867C}">
                  <a14:compatExt spid="_x0000_s19499"/>
                </a:ext>
                <a:ext uri="{FF2B5EF4-FFF2-40B4-BE49-F238E27FC236}">
                  <a16:creationId xmlns:a16="http://schemas.microsoft.com/office/drawing/2014/main" id="{00000000-0008-0000-0100-00002B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15</xdr:col>
          <xdr:colOff>0</xdr:colOff>
          <xdr:row>18</xdr:row>
          <xdr:rowOff>0</xdr:rowOff>
        </xdr:from>
        <xdr:to>
          <xdr:col>17</xdr:col>
          <xdr:colOff>0</xdr:colOff>
          <xdr:row>19</xdr:row>
          <xdr:rowOff>0</xdr:rowOff>
        </xdr:to>
        <xdr:sp macro="" textlink="">
          <xdr:nvSpPr>
            <xdr:cNvPr id="19500" name="Group Box 9260" hidden="1">
              <a:extLst>
                <a:ext uri="{63B3BB69-23CF-44E3-9099-C40C66FF867C}">
                  <a14:compatExt spid="_x0000_s19500"/>
                </a:ext>
                <a:ext uri="{FF2B5EF4-FFF2-40B4-BE49-F238E27FC236}">
                  <a16:creationId xmlns:a16="http://schemas.microsoft.com/office/drawing/2014/main" id="{00000000-0008-0000-0100-00002C4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15</xdr:col>
          <xdr:colOff>220980</xdr:colOff>
          <xdr:row>19</xdr:row>
          <xdr:rowOff>0</xdr:rowOff>
        </xdr:from>
        <xdr:to>
          <xdr:col>16</xdr:col>
          <xdr:colOff>0</xdr:colOff>
          <xdr:row>20</xdr:row>
          <xdr:rowOff>0</xdr:rowOff>
        </xdr:to>
        <xdr:sp macro="" textlink="">
          <xdr:nvSpPr>
            <xdr:cNvPr id="19501" name="Option Button 9261" hidden="1">
              <a:extLst>
                <a:ext uri="{63B3BB69-23CF-44E3-9099-C40C66FF867C}">
                  <a14:compatExt spid="_x0000_s19501"/>
                </a:ext>
                <a:ext uri="{FF2B5EF4-FFF2-40B4-BE49-F238E27FC236}">
                  <a16:creationId xmlns:a16="http://schemas.microsoft.com/office/drawing/2014/main" id="{00000000-0008-0000-0100-00002D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220980</xdr:colOff>
          <xdr:row>19</xdr:row>
          <xdr:rowOff>0</xdr:rowOff>
        </xdr:from>
        <xdr:to>
          <xdr:col>17</xdr:col>
          <xdr:colOff>0</xdr:colOff>
          <xdr:row>20</xdr:row>
          <xdr:rowOff>0</xdr:rowOff>
        </xdr:to>
        <xdr:sp macro="" textlink="">
          <xdr:nvSpPr>
            <xdr:cNvPr id="19502" name="Option Button 9262" hidden="1">
              <a:extLst>
                <a:ext uri="{63B3BB69-23CF-44E3-9099-C40C66FF867C}">
                  <a14:compatExt spid="_x0000_s19502"/>
                </a:ext>
                <a:ext uri="{FF2B5EF4-FFF2-40B4-BE49-F238E27FC236}">
                  <a16:creationId xmlns:a16="http://schemas.microsoft.com/office/drawing/2014/main" id="{00000000-0008-0000-0100-00002E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15</xdr:col>
          <xdr:colOff>0</xdr:colOff>
          <xdr:row>19</xdr:row>
          <xdr:rowOff>0</xdr:rowOff>
        </xdr:from>
        <xdr:to>
          <xdr:col>17</xdr:col>
          <xdr:colOff>0</xdr:colOff>
          <xdr:row>20</xdr:row>
          <xdr:rowOff>0</xdr:rowOff>
        </xdr:to>
        <xdr:sp macro="" textlink="">
          <xdr:nvSpPr>
            <xdr:cNvPr id="19503" name="Group Box 9263" hidden="1">
              <a:extLst>
                <a:ext uri="{63B3BB69-23CF-44E3-9099-C40C66FF867C}">
                  <a14:compatExt spid="_x0000_s19503"/>
                </a:ext>
                <a:ext uri="{FF2B5EF4-FFF2-40B4-BE49-F238E27FC236}">
                  <a16:creationId xmlns:a16="http://schemas.microsoft.com/office/drawing/2014/main" id="{00000000-0008-0000-0100-00002F4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15</xdr:col>
          <xdr:colOff>220980</xdr:colOff>
          <xdr:row>20</xdr:row>
          <xdr:rowOff>0</xdr:rowOff>
        </xdr:from>
        <xdr:to>
          <xdr:col>16</xdr:col>
          <xdr:colOff>0</xdr:colOff>
          <xdr:row>21</xdr:row>
          <xdr:rowOff>0</xdr:rowOff>
        </xdr:to>
        <xdr:sp macro="" textlink="">
          <xdr:nvSpPr>
            <xdr:cNvPr id="19504" name="Option Button 9264" hidden="1">
              <a:extLst>
                <a:ext uri="{63B3BB69-23CF-44E3-9099-C40C66FF867C}">
                  <a14:compatExt spid="_x0000_s19504"/>
                </a:ext>
                <a:ext uri="{FF2B5EF4-FFF2-40B4-BE49-F238E27FC236}">
                  <a16:creationId xmlns:a16="http://schemas.microsoft.com/office/drawing/2014/main" id="{00000000-0008-0000-0100-000030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220980</xdr:colOff>
          <xdr:row>20</xdr:row>
          <xdr:rowOff>0</xdr:rowOff>
        </xdr:from>
        <xdr:to>
          <xdr:col>17</xdr:col>
          <xdr:colOff>0</xdr:colOff>
          <xdr:row>21</xdr:row>
          <xdr:rowOff>0</xdr:rowOff>
        </xdr:to>
        <xdr:sp macro="" textlink="">
          <xdr:nvSpPr>
            <xdr:cNvPr id="19505" name="Option Button 9265" hidden="1">
              <a:extLst>
                <a:ext uri="{63B3BB69-23CF-44E3-9099-C40C66FF867C}">
                  <a14:compatExt spid="_x0000_s19505"/>
                </a:ext>
                <a:ext uri="{FF2B5EF4-FFF2-40B4-BE49-F238E27FC236}">
                  <a16:creationId xmlns:a16="http://schemas.microsoft.com/office/drawing/2014/main" id="{00000000-0008-0000-0100-000031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15</xdr:col>
          <xdr:colOff>0</xdr:colOff>
          <xdr:row>20</xdr:row>
          <xdr:rowOff>0</xdr:rowOff>
        </xdr:from>
        <xdr:to>
          <xdr:col>17</xdr:col>
          <xdr:colOff>0</xdr:colOff>
          <xdr:row>21</xdr:row>
          <xdr:rowOff>0</xdr:rowOff>
        </xdr:to>
        <xdr:sp macro="" textlink="">
          <xdr:nvSpPr>
            <xdr:cNvPr id="19506" name="Group Box 9266" hidden="1">
              <a:extLst>
                <a:ext uri="{63B3BB69-23CF-44E3-9099-C40C66FF867C}">
                  <a14:compatExt spid="_x0000_s19506"/>
                </a:ext>
                <a:ext uri="{FF2B5EF4-FFF2-40B4-BE49-F238E27FC236}">
                  <a16:creationId xmlns:a16="http://schemas.microsoft.com/office/drawing/2014/main" id="{00000000-0008-0000-0100-0000324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15</xdr:col>
          <xdr:colOff>220980</xdr:colOff>
          <xdr:row>21</xdr:row>
          <xdr:rowOff>0</xdr:rowOff>
        </xdr:from>
        <xdr:to>
          <xdr:col>16</xdr:col>
          <xdr:colOff>0</xdr:colOff>
          <xdr:row>22</xdr:row>
          <xdr:rowOff>0</xdr:rowOff>
        </xdr:to>
        <xdr:sp macro="" textlink="">
          <xdr:nvSpPr>
            <xdr:cNvPr id="19507" name="Option Button 9267" hidden="1">
              <a:extLst>
                <a:ext uri="{63B3BB69-23CF-44E3-9099-C40C66FF867C}">
                  <a14:compatExt spid="_x0000_s19507"/>
                </a:ext>
                <a:ext uri="{FF2B5EF4-FFF2-40B4-BE49-F238E27FC236}">
                  <a16:creationId xmlns:a16="http://schemas.microsoft.com/office/drawing/2014/main" id="{00000000-0008-0000-0100-000033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220980</xdr:colOff>
          <xdr:row>21</xdr:row>
          <xdr:rowOff>0</xdr:rowOff>
        </xdr:from>
        <xdr:to>
          <xdr:col>17</xdr:col>
          <xdr:colOff>0</xdr:colOff>
          <xdr:row>22</xdr:row>
          <xdr:rowOff>0</xdr:rowOff>
        </xdr:to>
        <xdr:sp macro="" textlink="">
          <xdr:nvSpPr>
            <xdr:cNvPr id="19508" name="Option Button 9268" hidden="1">
              <a:extLst>
                <a:ext uri="{63B3BB69-23CF-44E3-9099-C40C66FF867C}">
                  <a14:compatExt spid="_x0000_s19508"/>
                </a:ext>
                <a:ext uri="{FF2B5EF4-FFF2-40B4-BE49-F238E27FC236}">
                  <a16:creationId xmlns:a16="http://schemas.microsoft.com/office/drawing/2014/main" id="{00000000-0008-0000-0100-000034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15</xdr:col>
          <xdr:colOff>0</xdr:colOff>
          <xdr:row>21</xdr:row>
          <xdr:rowOff>0</xdr:rowOff>
        </xdr:from>
        <xdr:to>
          <xdr:col>17</xdr:col>
          <xdr:colOff>0</xdr:colOff>
          <xdr:row>22</xdr:row>
          <xdr:rowOff>0</xdr:rowOff>
        </xdr:to>
        <xdr:sp macro="" textlink="">
          <xdr:nvSpPr>
            <xdr:cNvPr id="19509" name="Group Box 9269" hidden="1">
              <a:extLst>
                <a:ext uri="{63B3BB69-23CF-44E3-9099-C40C66FF867C}">
                  <a14:compatExt spid="_x0000_s19509"/>
                </a:ext>
                <a:ext uri="{FF2B5EF4-FFF2-40B4-BE49-F238E27FC236}">
                  <a16:creationId xmlns:a16="http://schemas.microsoft.com/office/drawing/2014/main" id="{00000000-0008-0000-0100-0000354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15</xdr:col>
          <xdr:colOff>220980</xdr:colOff>
          <xdr:row>31</xdr:row>
          <xdr:rowOff>0</xdr:rowOff>
        </xdr:from>
        <xdr:to>
          <xdr:col>16</xdr:col>
          <xdr:colOff>0</xdr:colOff>
          <xdr:row>32</xdr:row>
          <xdr:rowOff>0</xdr:rowOff>
        </xdr:to>
        <xdr:sp macro="" textlink="">
          <xdr:nvSpPr>
            <xdr:cNvPr id="19510" name="Option Button 9270" hidden="1">
              <a:extLst>
                <a:ext uri="{63B3BB69-23CF-44E3-9099-C40C66FF867C}">
                  <a14:compatExt spid="_x0000_s19510"/>
                </a:ext>
                <a:ext uri="{FF2B5EF4-FFF2-40B4-BE49-F238E27FC236}">
                  <a16:creationId xmlns:a16="http://schemas.microsoft.com/office/drawing/2014/main" id="{00000000-0008-0000-0100-000036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220980</xdr:colOff>
          <xdr:row>31</xdr:row>
          <xdr:rowOff>0</xdr:rowOff>
        </xdr:from>
        <xdr:to>
          <xdr:col>17</xdr:col>
          <xdr:colOff>0</xdr:colOff>
          <xdr:row>32</xdr:row>
          <xdr:rowOff>0</xdr:rowOff>
        </xdr:to>
        <xdr:sp macro="" textlink="">
          <xdr:nvSpPr>
            <xdr:cNvPr id="19511" name="Option Button 9271" hidden="1">
              <a:extLst>
                <a:ext uri="{63B3BB69-23CF-44E3-9099-C40C66FF867C}">
                  <a14:compatExt spid="_x0000_s19511"/>
                </a:ext>
                <a:ext uri="{FF2B5EF4-FFF2-40B4-BE49-F238E27FC236}">
                  <a16:creationId xmlns:a16="http://schemas.microsoft.com/office/drawing/2014/main" id="{00000000-0008-0000-0100-000037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15</xdr:col>
          <xdr:colOff>0</xdr:colOff>
          <xdr:row>31</xdr:row>
          <xdr:rowOff>0</xdr:rowOff>
        </xdr:from>
        <xdr:to>
          <xdr:col>17</xdr:col>
          <xdr:colOff>0</xdr:colOff>
          <xdr:row>32</xdr:row>
          <xdr:rowOff>0</xdr:rowOff>
        </xdr:to>
        <xdr:sp macro="" textlink="">
          <xdr:nvSpPr>
            <xdr:cNvPr id="19512" name="Group Box 9272" hidden="1">
              <a:extLst>
                <a:ext uri="{63B3BB69-23CF-44E3-9099-C40C66FF867C}">
                  <a14:compatExt spid="_x0000_s19512"/>
                </a:ext>
                <a:ext uri="{FF2B5EF4-FFF2-40B4-BE49-F238E27FC236}">
                  <a16:creationId xmlns:a16="http://schemas.microsoft.com/office/drawing/2014/main" id="{00000000-0008-0000-0100-0000384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15</xdr:col>
          <xdr:colOff>220980</xdr:colOff>
          <xdr:row>16</xdr:row>
          <xdr:rowOff>0</xdr:rowOff>
        </xdr:from>
        <xdr:to>
          <xdr:col>16</xdr:col>
          <xdr:colOff>0</xdr:colOff>
          <xdr:row>17</xdr:row>
          <xdr:rowOff>0</xdr:rowOff>
        </xdr:to>
        <xdr:sp macro="" textlink="">
          <xdr:nvSpPr>
            <xdr:cNvPr id="19790" name="Option Button 9550" hidden="1">
              <a:extLst>
                <a:ext uri="{63B3BB69-23CF-44E3-9099-C40C66FF867C}">
                  <a14:compatExt spid="_x0000_s19790"/>
                </a:ext>
                <a:ext uri="{FF2B5EF4-FFF2-40B4-BE49-F238E27FC236}">
                  <a16:creationId xmlns:a16="http://schemas.microsoft.com/office/drawing/2014/main" id="{00000000-0008-0000-0100-00004E4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220980</xdr:colOff>
          <xdr:row>16</xdr:row>
          <xdr:rowOff>0</xdr:rowOff>
        </xdr:from>
        <xdr:to>
          <xdr:col>17</xdr:col>
          <xdr:colOff>0</xdr:colOff>
          <xdr:row>17</xdr:row>
          <xdr:rowOff>0</xdr:rowOff>
        </xdr:to>
        <xdr:sp macro="" textlink="">
          <xdr:nvSpPr>
            <xdr:cNvPr id="19791" name="Option Button 9551" hidden="1">
              <a:extLst>
                <a:ext uri="{63B3BB69-23CF-44E3-9099-C40C66FF867C}">
                  <a14:compatExt spid="_x0000_s19791"/>
                </a:ext>
                <a:ext uri="{FF2B5EF4-FFF2-40B4-BE49-F238E27FC236}">
                  <a16:creationId xmlns:a16="http://schemas.microsoft.com/office/drawing/2014/main" id="{00000000-0008-0000-0100-00004F4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15</xdr:col>
          <xdr:colOff>0</xdr:colOff>
          <xdr:row>16</xdr:row>
          <xdr:rowOff>0</xdr:rowOff>
        </xdr:from>
        <xdr:to>
          <xdr:col>17</xdr:col>
          <xdr:colOff>0</xdr:colOff>
          <xdr:row>17</xdr:row>
          <xdr:rowOff>0</xdr:rowOff>
        </xdr:to>
        <xdr:sp macro="" textlink="">
          <xdr:nvSpPr>
            <xdr:cNvPr id="19792" name="Group Box 9552" hidden="1">
              <a:extLst>
                <a:ext uri="{63B3BB69-23CF-44E3-9099-C40C66FF867C}">
                  <a14:compatExt spid="_x0000_s19792"/>
                </a:ext>
                <a:ext uri="{FF2B5EF4-FFF2-40B4-BE49-F238E27FC236}">
                  <a16:creationId xmlns:a16="http://schemas.microsoft.com/office/drawing/2014/main" id="{00000000-0008-0000-0100-0000504D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228600</xdr:colOff>
          <xdr:row>17</xdr:row>
          <xdr:rowOff>0</xdr:rowOff>
        </xdr:from>
        <xdr:to>
          <xdr:col>12</xdr:col>
          <xdr:colOff>0</xdr:colOff>
          <xdr:row>18</xdr:row>
          <xdr:rowOff>0</xdr:rowOff>
        </xdr:to>
        <xdr:sp macro="" textlink="">
          <xdr:nvSpPr>
            <xdr:cNvPr id="19839" name="Option Button 9599" hidden="1">
              <a:extLst>
                <a:ext uri="{63B3BB69-23CF-44E3-9099-C40C66FF867C}">
                  <a14:compatExt spid="_x0000_s19839"/>
                </a:ext>
                <a:ext uri="{FF2B5EF4-FFF2-40B4-BE49-F238E27FC236}">
                  <a16:creationId xmlns:a16="http://schemas.microsoft.com/office/drawing/2014/main" id="{00000000-0008-0000-0100-00007F4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13</xdr:col>
          <xdr:colOff>228600</xdr:colOff>
          <xdr:row>17</xdr:row>
          <xdr:rowOff>0</xdr:rowOff>
        </xdr:from>
        <xdr:to>
          <xdr:col>14</xdr:col>
          <xdr:colOff>0</xdr:colOff>
          <xdr:row>18</xdr:row>
          <xdr:rowOff>0</xdr:rowOff>
        </xdr:to>
        <xdr:sp macro="" textlink="">
          <xdr:nvSpPr>
            <xdr:cNvPr id="19840" name="Option Button 9600" hidden="1">
              <a:extLst>
                <a:ext uri="{63B3BB69-23CF-44E3-9099-C40C66FF867C}">
                  <a14:compatExt spid="_x0000_s19840"/>
                </a:ext>
                <a:ext uri="{FF2B5EF4-FFF2-40B4-BE49-F238E27FC236}">
                  <a16:creationId xmlns:a16="http://schemas.microsoft.com/office/drawing/2014/main" id="{00000000-0008-0000-0100-0000804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0</xdr:colOff>
          <xdr:row>17</xdr:row>
          <xdr:rowOff>0</xdr:rowOff>
        </xdr:from>
        <xdr:to>
          <xdr:col>14</xdr:col>
          <xdr:colOff>0</xdr:colOff>
          <xdr:row>18</xdr:row>
          <xdr:rowOff>0</xdr:rowOff>
        </xdr:to>
        <xdr:sp macro="" textlink="">
          <xdr:nvSpPr>
            <xdr:cNvPr id="19841" name="Group Box 9601" hidden="1">
              <a:extLst>
                <a:ext uri="{63B3BB69-23CF-44E3-9099-C40C66FF867C}">
                  <a14:compatExt spid="_x0000_s19841"/>
                </a:ext>
                <a:ext uri="{FF2B5EF4-FFF2-40B4-BE49-F238E27FC236}">
                  <a16:creationId xmlns:a16="http://schemas.microsoft.com/office/drawing/2014/main" id="{00000000-0008-0000-0100-0000814D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228600</xdr:colOff>
          <xdr:row>26</xdr:row>
          <xdr:rowOff>0</xdr:rowOff>
        </xdr:from>
        <xdr:to>
          <xdr:col>12</xdr:col>
          <xdr:colOff>0</xdr:colOff>
          <xdr:row>27</xdr:row>
          <xdr:rowOff>0</xdr:rowOff>
        </xdr:to>
        <xdr:sp macro="" textlink="">
          <xdr:nvSpPr>
            <xdr:cNvPr id="19842" name="Option Button 9602" hidden="1">
              <a:extLst>
                <a:ext uri="{63B3BB69-23CF-44E3-9099-C40C66FF867C}">
                  <a14:compatExt spid="_x0000_s19842"/>
                </a:ext>
                <a:ext uri="{FF2B5EF4-FFF2-40B4-BE49-F238E27FC236}">
                  <a16:creationId xmlns:a16="http://schemas.microsoft.com/office/drawing/2014/main" id="{00000000-0008-0000-0100-0000824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220980</xdr:colOff>
          <xdr:row>26</xdr:row>
          <xdr:rowOff>0</xdr:rowOff>
        </xdr:from>
        <xdr:to>
          <xdr:col>14</xdr:col>
          <xdr:colOff>0</xdr:colOff>
          <xdr:row>27</xdr:row>
          <xdr:rowOff>0</xdr:rowOff>
        </xdr:to>
        <xdr:sp macro="" textlink="">
          <xdr:nvSpPr>
            <xdr:cNvPr id="19843" name="Option Button 9603" hidden="1">
              <a:extLst>
                <a:ext uri="{63B3BB69-23CF-44E3-9099-C40C66FF867C}">
                  <a14:compatExt spid="_x0000_s19843"/>
                </a:ext>
                <a:ext uri="{FF2B5EF4-FFF2-40B4-BE49-F238E27FC236}">
                  <a16:creationId xmlns:a16="http://schemas.microsoft.com/office/drawing/2014/main" id="{00000000-0008-0000-0100-0000834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0</xdr:colOff>
          <xdr:row>26</xdr:row>
          <xdr:rowOff>0</xdr:rowOff>
        </xdr:from>
        <xdr:to>
          <xdr:col>14</xdr:col>
          <xdr:colOff>0</xdr:colOff>
          <xdr:row>27</xdr:row>
          <xdr:rowOff>0</xdr:rowOff>
        </xdr:to>
        <xdr:sp macro="" textlink="">
          <xdr:nvSpPr>
            <xdr:cNvPr id="19844" name="Group Box 9604" hidden="1">
              <a:extLst>
                <a:ext uri="{63B3BB69-23CF-44E3-9099-C40C66FF867C}">
                  <a14:compatExt spid="_x0000_s19844"/>
                </a:ext>
                <a:ext uri="{FF2B5EF4-FFF2-40B4-BE49-F238E27FC236}">
                  <a16:creationId xmlns:a16="http://schemas.microsoft.com/office/drawing/2014/main" id="{00000000-0008-0000-0100-0000844D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220980</xdr:colOff>
          <xdr:row>31</xdr:row>
          <xdr:rowOff>144780</xdr:rowOff>
        </xdr:from>
        <xdr:to>
          <xdr:col>15</xdr:col>
          <xdr:colOff>563880</xdr:colOff>
          <xdr:row>33</xdr:row>
          <xdr:rowOff>45720</xdr:rowOff>
        </xdr:to>
        <xdr:sp macro="" textlink="">
          <xdr:nvSpPr>
            <xdr:cNvPr id="20489" name="Option Button 10249" hidden="1">
              <a:extLst>
                <a:ext uri="{63B3BB69-23CF-44E3-9099-C40C66FF867C}">
                  <a14:compatExt spid="_x0000_s20489"/>
                </a:ext>
                <a:ext uri="{FF2B5EF4-FFF2-40B4-BE49-F238E27FC236}">
                  <a16:creationId xmlns:a16="http://schemas.microsoft.com/office/drawing/2014/main" id="{00000000-0008-0000-0100-000009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228600</xdr:colOff>
          <xdr:row>31</xdr:row>
          <xdr:rowOff>129540</xdr:rowOff>
        </xdr:from>
        <xdr:to>
          <xdr:col>19</xdr:col>
          <xdr:colOff>106680</xdr:colOff>
          <xdr:row>33</xdr:row>
          <xdr:rowOff>30480</xdr:rowOff>
        </xdr:to>
        <xdr:sp macro="" textlink="">
          <xdr:nvSpPr>
            <xdr:cNvPr id="20490" name="Option Button 10250" hidden="1">
              <a:extLst>
                <a:ext uri="{63B3BB69-23CF-44E3-9099-C40C66FF867C}">
                  <a14:compatExt spid="_x0000_s20490"/>
                </a:ext>
                <a:ext uri="{FF2B5EF4-FFF2-40B4-BE49-F238E27FC236}">
                  <a16:creationId xmlns:a16="http://schemas.microsoft.com/office/drawing/2014/main" id="{00000000-0008-0000-0100-00000A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137160</xdr:colOff>
      <xdr:row>61</xdr:row>
      <xdr:rowOff>30480</xdr:rowOff>
    </xdr:from>
    <xdr:to>
      <xdr:col>13</xdr:col>
      <xdr:colOff>548640</xdr:colOff>
      <xdr:row>62</xdr:row>
      <xdr:rowOff>213360</xdr:rowOff>
    </xdr:to>
    <xdr:pic>
      <xdr:nvPicPr>
        <xdr:cNvPr id="26419" name="图片 1">
          <a:extLst>
            <a:ext uri="{FF2B5EF4-FFF2-40B4-BE49-F238E27FC236}">
              <a16:creationId xmlns:a16="http://schemas.microsoft.com/office/drawing/2014/main" id="{00000000-0008-0000-0100-0000336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29100" y="9456420"/>
          <a:ext cx="1028700" cy="358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26" Type="http://schemas.openxmlformats.org/officeDocument/2006/relationships/ctrlProp" Target="../ctrlProps/ctrlProp35.xml"/><Relationship Id="rId117" Type="http://schemas.openxmlformats.org/officeDocument/2006/relationships/ctrlProp" Target="../ctrlProps/ctrlProp126.xml"/><Relationship Id="rId21" Type="http://schemas.openxmlformats.org/officeDocument/2006/relationships/ctrlProp" Target="../ctrlProps/ctrlProp30.xml"/><Relationship Id="rId42" Type="http://schemas.openxmlformats.org/officeDocument/2006/relationships/ctrlProp" Target="../ctrlProps/ctrlProp51.xml"/><Relationship Id="rId47" Type="http://schemas.openxmlformats.org/officeDocument/2006/relationships/ctrlProp" Target="../ctrlProps/ctrlProp56.xml"/><Relationship Id="rId63" Type="http://schemas.openxmlformats.org/officeDocument/2006/relationships/ctrlProp" Target="../ctrlProps/ctrlProp72.xml"/><Relationship Id="rId68" Type="http://schemas.openxmlformats.org/officeDocument/2006/relationships/ctrlProp" Target="../ctrlProps/ctrlProp77.xml"/><Relationship Id="rId84" Type="http://schemas.openxmlformats.org/officeDocument/2006/relationships/ctrlProp" Target="../ctrlProps/ctrlProp93.xml"/><Relationship Id="rId89" Type="http://schemas.openxmlformats.org/officeDocument/2006/relationships/ctrlProp" Target="../ctrlProps/ctrlProp98.xml"/><Relationship Id="rId112" Type="http://schemas.openxmlformats.org/officeDocument/2006/relationships/ctrlProp" Target="../ctrlProps/ctrlProp121.xml"/><Relationship Id="rId16" Type="http://schemas.openxmlformats.org/officeDocument/2006/relationships/ctrlProp" Target="../ctrlProps/ctrlProp25.xml"/><Relationship Id="rId107" Type="http://schemas.openxmlformats.org/officeDocument/2006/relationships/ctrlProp" Target="../ctrlProps/ctrlProp116.xml"/><Relationship Id="rId11" Type="http://schemas.openxmlformats.org/officeDocument/2006/relationships/ctrlProp" Target="../ctrlProps/ctrlProp20.xml"/><Relationship Id="rId32" Type="http://schemas.openxmlformats.org/officeDocument/2006/relationships/ctrlProp" Target="../ctrlProps/ctrlProp41.xml"/><Relationship Id="rId37" Type="http://schemas.openxmlformats.org/officeDocument/2006/relationships/ctrlProp" Target="../ctrlProps/ctrlProp46.xml"/><Relationship Id="rId53" Type="http://schemas.openxmlformats.org/officeDocument/2006/relationships/ctrlProp" Target="../ctrlProps/ctrlProp62.xml"/><Relationship Id="rId58" Type="http://schemas.openxmlformats.org/officeDocument/2006/relationships/ctrlProp" Target="../ctrlProps/ctrlProp67.xml"/><Relationship Id="rId74" Type="http://schemas.openxmlformats.org/officeDocument/2006/relationships/ctrlProp" Target="../ctrlProps/ctrlProp83.xml"/><Relationship Id="rId79" Type="http://schemas.openxmlformats.org/officeDocument/2006/relationships/ctrlProp" Target="../ctrlProps/ctrlProp88.xml"/><Relationship Id="rId102" Type="http://schemas.openxmlformats.org/officeDocument/2006/relationships/ctrlProp" Target="../ctrlProps/ctrlProp111.xml"/><Relationship Id="rId5" Type="http://schemas.openxmlformats.org/officeDocument/2006/relationships/vmlDrawing" Target="../drawings/vmlDrawing2.vml"/><Relationship Id="rId90" Type="http://schemas.openxmlformats.org/officeDocument/2006/relationships/ctrlProp" Target="../ctrlProps/ctrlProp99.xml"/><Relationship Id="rId95" Type="http://schemas.openxmlformats.org/officeDocument/2006/relationships/ctrlProp" Target="../ctrlProps/ctrlProp104.xml"/><Relationship Id="rId22" Type="http://schemas.openxmlformats.org/officeDocument/2006/relationships/ctrlProp" Target="../ctrlProps/ctrlProp31.xml"/><Relationship Id="rId27" Type="http://schemas.openxmlformats.org/officeDocument/2006/relationships/ctrlProp" Target="../ctrlProps/ctrlProp36.xml"/><Relationship Id="rId43" Type="http://schemas.openxmlformats.org/officeDocument/2006/relationships/ctrlProp" Target="../ctrlProps/ctrlProp52.xml"/><Relationship Id="rId48" Type="http://schemas.openxmlformats.org/officeDocument/2006/relationships/ctrlProp" Target="../ctrlProps/ctrlProp57.xml"/><Relationship Id="rId64" Type="http://schemas.openxmlformats.org/officeDocument/2006/relationships/ctrlProp" Target="../ctrlProps/ctrlProp73.xml"/><Relationship Id="rId69" Type="http://schemas.openxmlformats.org/officeDocument/2006/relationships/ctrlProp" Target="../ctrlProps/ctrlProp78.xml"/><Relationship Id="rId113" Type="http://schemas.openxmlformats.org/officeDocument/2006/relationships/ctrlProp" Target="../ctrlProps/ctrlProp122.xml"/><Relationship Id="rId118" Type="http://schemas.openxmlformats.org/officeDocument/2006/relationships/ctrlProp" Target="../ctrlProps/ctrlProp127.xml"/><Relationship Id="rId80" Type="http://schemas.openxmlformats.org/officeDocument/2006/relationships/ctrlProp" Target="../ctrlProps/ctrlProp89.xml"/><Relationship Id="rId85" Type="http://schemas.openxmlformats.org/officeDocument/2006/relationships/ctrlProp" Target="../ctrlProps/ctrlProp94.xml"/><Relationship Id="rId12" Type="http://schemas.openxmlformats.org/officeDocument/2006/relationships/ctrlProp" Target="../ctrlProps/ctrlProp21.xml"/><Relationship Id="rId17" Type="http://schemas.openxmlformats.org/officeDocument/2006/relationships/ctrlProp" Target="../ctrlProps/ctrlProp26.xml"/><Relationship Id="rId33" Type="http://schemas.openxmlformats.org/officeDocument/2006/relationships/ctrlProp" Target="../ctrlProps/ctrlProp42.xml"/><Relationship Id="rId38" Type="http://schemas.openxmlformats.org/officeDocument/2006/relationships/ctrlProp" Target="../ctrlProps/ctrlProp47.xml"/><Relationship Id="rId59" Type="http://schemas.openxmlformats.org/officeDocument/2006/relationships/ctrlProp" Target="../ctrlProps/ctrlProp68.xml"/><Relationship Id="rId103" Type="http://schemas.openxmlformats.org/officeDocument/2006/relationships/ctrlProp" Target="../ctrlProps/ctrlProp112.xml"/><Relationship Id="rId108" Type="http://schemas.openxmlformats.org/officeDocument/2006/relationships/ctrlProp" Target="../ctrlProps/ctrlProp117.xml"/><Relationship Id="rId54" Type="http://schemas.openxmlformats.org/officeDocument/2006/relationships/ctrlProp" Target="../ctrlProps/ctrlProp63.xml"/><Relationship Id="rId70" Type="http://schemas.openxmlformats.org/officeDocument/2006/relationships/ctrlProp" Target="../ctrlProps/ctrlProp79.xml"/><Relationship Id="rId75" Type="http://schemas.openxmlformats.org/officeDocument/2006/relationships/ctrlProp" Target="../ctrlProps/ctrlProp84.xml"/><Relationship Id="rId91" Type="http://schemas.openxmlformats.org/officeDocument/2006/relationships/ctrlProp" Target="../ctrlProps/ctrlProp100.xml"/><Relationship Id="rId96" Type="http://schemas.openxmlformats.org/officeDocument/2006/relationships/ctrlProp" Target="../ctrlProps/ctrlProp105.xml"/><Relationship Id="rId1" Type="http://schemas.openxmlformats.org/officeDocument/2006/relationships/hyperlink" Target="mailto:shaoshuhong@hisense.com" TargetMode="External"/><Relationship Id="rId6" Type="http://schemas.openxmlformats.org/officeDocument/2006/relationships/ctrlProp" Target="../ctrlProps/ctrlProp15.xml"/><Relationship Id="rId23" Type="http://schemas.openxmlformats.org/officeDocument/2006/relationships/ctrlProp" Target="../ctrlProps/ctrlProp32.xml"/><Relationship Id="rId28" Type="http://schemas.openxmlformats.org/officeDocument/2006/relationships/ctrlProp" Target="../ctrlProps/ctrlProp37.xml"/><Relationship Id="rId49" Type="http://schemas.openxmlformats.org/officeDocument/2006/relationships/ctrlProp" Target="../ctrlProps/ctrlProp58.xml"/><Relationship Id="rId114" Type="http://schemas.openxmlformats.org/officeDocument/2006/relationships/ctrlProp" Target="../ctrlProps/ctrlProp123.xml"/><Relationship Id="rId119" Type="http://schemas.openxmlformats.org/officeDocument/2006/relationships/ctrlProp" Target="../ctrlProps/ctrlProp128.xml"/><Relationship Id="rId44" Type="http://schemas.openxmlformats.org/officeDocument/2006/relationships/ctrlProp" Target="../ctrlProps/ctrlProp53.xml"/><Relationship Id="rId60" Type="http://schemas.openxmlformats.org/officeDocument/2006/relationships/ctrlProp" Target="../ctrlProps/ctrlProp69.xml"/><Relationship Id="rId65" Type="http://schemas.openxmlformats.org/officeDocument/2006/relationships/ctrlProp" Target="../ctrlProps/ctrlProp74.xml"/><Relationship Id="rId81" Type="http://schemas.openxmlformats.org/officeDocument/2006/relationships/ctrlProp" Target="../ctrlProps/ctrlProp90.xml"/><Relationship Id="rId86" Type="http://schemas.openxmlformats.org/officeDocument/2006/relationships/ctrlProp" Target="../ctrlProps/ctrlProp95.xml"/><Relationship Id="rId4" Type="http://schemas.openxmlformats.org/officeDocument/2006/relationships/drawing" Target="../drawings/drawing2.xml"/><Relationship Id="rId9" Type="http://schemas.openxmlformats.org/officeDocument/2006/relationships/ctrlProp" Target="../ctrlProps/ctrlProp18.xml"/><Relationship Id="rId13" Type="http://schemas.openxmlformats.org/officeDocument/2006/relationships/ctrlProp" Target="../ctrlProps/ctrlProp22.xml"/><Relationship Id="rId18" Type="http://schemas.openxmlformats.org/officeDocument/2006/relationships/ctrlProp" Target="../ctrlProps/ctrlProp27.xml"/><Relationship Id="rId39" Type="http://schemas.openxmlformats.org/officeDocument/2006/relationships/ctrlProp" Target="../ctrlProps/ctrlProp48.xml"/><Relationship Id="rId109" Type="http://schemas.openxmlformats.org/officeDocument/2006/relationships/ctrlProp" Target="../ctrlProps/ctrlProp118.xml"/><Relationship Id="rId34" Type="http://schemas.openxmlformats.org/officeDocument/2006/relationships/ctrlProp" Target="../ctrlProps/ctrlProp43.xml"/><Relationship Id="rId50" Type="http://schemas.openxmlformats.org/officeDocument/2006/relationships/ctrlProp" Target="../ctrlProps/ctrlProp59.xml"/><Relationship Id="rId55" Type="http://schemas.openxmlformats.org/officeDocument/2006/relationships/ctrlProp" Target="../ctrlProps/ctrlProp64.xml"/><Relationship Id="rId76" Type="http://schemas.openxmlformats.org/officeDocument/2006/relationships/ctrlProp" Target="../ctrlProps/ctrlProp85.xml"/><Relationship Id="rId97" Type="http://schemas.openxmlformats.org/officeDocument/2006/relationships/ctrlProp" Target="../ctrlProps/ctrlProp106.xml"/><Relationship Id="rId104" Type="http://schemas.openxmlformats.org/officeDocument/2006/relationships/ctrlProp" Target="../ctrlProps/ctrlProp113.xml"/><Relationship Id="rId120" Type="http://schemas.openxmlformats.org/officeDocument/2006/relationships/ctrlProp" Target="../ctrlProps/ctrlProp129.xml"/><Relationship Id="rId7" Type="http://schemas.openxmlformats.org/officeDocument/2006/relationships/ctrlProp" Target="../ctrlProps/ctrlProp16.xml"/><Relationship Id="rId71" Type="http://schemas.openxmlformats.org/officeDocument/2006/relationships/ctrlProp" Target="../ctrlProps/ctrlProp80.xml"/><Relationship Id="rId92" Type="http://schemas.openxmlformats.org/officeDocument/2006/relationships/ctrlProp" Target="../ctrlProps/ctrlProp101.xml"/><Relationship Id="rId2" Type="http://schemas.openxmlformats.org/officeDocument/2006/relationships/hyperlink" Target="mailto:zhaoqingchao@hisense.com" TargetMode="External"/><Relationship Id="rId29" Type="http://schemas.openxmlformats.org/officeDocument/2006/relationships/ctrlProp" Target="../ctrlProps/ctrlProp38.xml"/><Relationship Id="rId24" Type="http://schemas.openxmlformats.org/officeDocument/2006/relationships/ctrlProp" Target="../ctrlProps/ctrlProp33.xml"/><Relationship Id="rId40" Type="http://schemas.openxmlformats.org/officeDocument/2006/relationships/ctrlProp" Target="../ctrlProps/ctrlProp49.xml"/><Relationship Id="rId45" Type="http://schemas.openxmlformats.org/officeDocument/2006/relationships/ctrlProp" Target="../ctrlProps/ctrlProp54.xml"/><Relationship Id="rId66" Type="http://schemas.openxmlformats.org/officeDocument/2006/relationships/ctrlProp" Target="../ctrlProps/ctrlProp75.xml"/><Relationship Id="rId87" Type="http://schemas.openxmlformats.org/officeDocument/2006/relationships/ctrlProp" Target="../ctrlProps/ctrlProp96.xml"/><Relationship Id="rId110" Type="http://schemas.openxmlformats.org/officeDocument/2006/relationships/ctrlProp" Target="../ctrlProps/ctrlProp119.xml"/><Relationship Id="rId115" Type="http://schemas.openxmlformats.org/officeDocument/2006/relationships/ctrlProp" Target="../ctrlProps/ctrlProp124.xml"/><Relationship Id="rId61" Type="http://schemas.openxmlformats.org/officeDocument/2006/relationships/ctrlProp" Target="../ctrlProps/ctrlProp70.xml"/><Relationship Id="rId82" Type="http://schemas.openxmlformats.org/officeDocument/2006/relationships/ctrlProp" Target="../ctrlProps/ctrlProp91.xml"/><Relationship Id="rId19" Type="http://schemas.openxmlformats.org/officeDocument/2006/relationships/ctrlProp" Target="../ctrlProps/ctrlProp28.xml"/><Relationship Id="rId14" Type="http://schemas.openxmlformats.org/officeDocument/2006/relationships/ctrlProp" Target="../ctrlProps/ctrlProp23.xml"/><Relationship Id="rId30" Type="http://schemas.openxmlformats.org/officeDocument/2006/relationships/ctrlProp" Target="../ctrlProps/ctrlProp39.xml"/><Relationship Id="rId35" Type="http://schemas.openxmlformats.org/officeDocument/2006/relationships/ctrlProp" Target="../ctrlProps/ctrlProp44.xml"/><Relationship Id="rId56" Type="http://schemas.openxmlformats.org/officeDocument/2006/relationships/ctrlProp" Target="../ctrlProps/ctrlProp65.xml"/><Relationship Id="rId77" Type="http://schemas.openxmlformats.org/officeDocument/2006/relationships/ctrlProp" Target="../ctrlProps/ctrlProp86.xml"/><Relationship Id="rId100" Type="http://schemas.openxmlformats.org/officeDocument/2006/relationships/ctrlProp" Target="../ctrlProps/ctrlProp109.xml"/><Relationship Id="rId105" Type="http://schemas.openxmlformats.org/officeDocument/2006/relationships/ctrlProp" Target="../ctrlProps/ctrlProp114.xml"/><Relationship Id="rId8" Type="http://schemas.openxmlformats.org/officeDocument/2006/relationships/ctrlProp" Target="../ctrlProps/ctrlProp17.xml"/><Relationship Id="rId51" Type="http://schemas.openxmlformats.org/officeDocument/2006/relationships/ctrlProp" Target="../ctrlProps/ctrlProp60.xml"/><Relationship Id="rId72" Type="http://schemas.openxmlformats.org/officeDocument/2006/relationships/ctrlProp" Target="../ctrlProps/ctrlProp81.xml"/><Relationship Id="rId93" Type="http://schemas.openxmlformats.org/officeDocument/2006/relationships/ctrlProp" Target="../ctrlProps/ctrlProp102.xml"/><Relationship Id="rId98" Type="http://schemas.openxmlformats.org/officeDocument/2006/relationships/ctrlProp" Target="../ctrlProps/ctrlProp107.xml"/><Relationship Id="rId121" Type="http://schemas.openxmlformats.org/officeDocument/2006/relationships/ctrlProp" Target="../ctrlProps/ctrlProp130.xml"/><Relationship Id="rId3" Type="http://schemas.openxmlformats.org/officeDocument/2006/relationships/printerSettings" Target="../printerSettings/printerSettings2.bin"/><Relationship Id="rId25" Type="http://schemas.openxmlformats.org/officeDocument/2006/relationships/ctrlProp" Target="../ctrlProps/ctrlProp34.xml"/><Relationship Id="rId46" Type="http://schemas.openxmlformats.org/officeDocument/2006/relationships/ctrlProp" Target="../ctrlProps/ctrlProp55.xml"/><Relationship Id="rId67" Type="http://schemas.openxmlformats.org/officeDocument/2006/relationships/ctrlProp" Target="../ctrlProps/ctrlProp76.xml"/><Relationship Id="rId116" Type="http://schemas.openxmlformats.org/officeDocument/2006/relationships/ctrlProp" Target="../ctrlProps/ctrlProp125.xml"/><Relationship Id="rId20" Type="http://schemas.openxmlformats.org/officeDocument/2006/relationships/ctrlProp" Target="../ctrlProps/ctrlProp29.xml"/><Relationship Id="rId41" Type="http://schemas.openxmlformats.org/officeDocument/2006/relationships/ctrlProp" Target="../ctrlProps/ctrlProp50.xml"/><Relationship Id="rId62" Type="http://schemas.openxmlformats.org/officeDocument/2006/relationships/ctrlProp" Target="../ctrlProps/ctrlProp71.xml"/><Relationship Id="rId83" Type="http://schemas.openxmlformats.org/officeDocument/2006/relationships/ctrlProp" Target="../ctrlProps/ctrlProp92.xml"/><Relationship Id="rId88" Type="http://schemas.openxmlformats.org/officeDocument/2006/relationships/ctrlProp" Target="../ctrlProps/ctrlProp97.xml"/><Relationship Id="rId111" Type="http://schemas.openxmlformats.org/officeDocument/2006/relationships/ctrlProp" Target="../ctrlProps/ctrlProp120.xml"/><Relationship Id="rId15" Type="http://schemas.openxmlformats.org/officeDocument/2006/relationships/ctrlProp" Target="../ctrlProps/ctrlProp24.xml"/><Relationship Id="rId36" Type="http://schemas.openxmlformats.org/officeDocument/2006/relationships/ctrlProp" Target="../ctrlProps/ctrlProp45.xml"/><Relationship Id="rId57" Type="http://schemas.openxmlformats.org/officeDocument/2006/relationships/ctrlProp" Target="../ctrlProps/ctrlProp66.xml"/><Relationship Id="rId106" Type="http://schemas.openxmlformats.org/officeDocument/2006/relationships/ctrlProp" Target="../ctrlProps/ctrlProp115.xml"/><Relationship Id="rId10" Type="http://schemas.openxmlformats.org/officeDocument/2006/relationships/ctrlProp" Target="../ctrlProps/ctrlProp19.xml"/><Relationship Id="rId31" Type="http://schemas.openxmlformats.org/officeDocument/2006/relationships/ctrlProp" Target="../ctrlProps/ctrlProp40.xml"/><Relationship Id="rId52" Type="http://schemas.openxmlformats.org/officeDocument/2006/relationships/ctrlProp" Target="../ctrlProps/ctrlProp61.xml"/><Relationship Id="rId73" Type="http://schemas.openxmlformats.org/officeDocument/2006/relationships/ctrlProp" Target="../ctrlProps/ctrlProp82.xml"/><Relationship Id="rId78" Type="http://schemas.openxmlformats.org/officeDocument/2006/relationships/ctrlProp" Target="../ctrlProps/ctrlProp87.xml"/><Relationship Id="rId94" Type="http://schemas.openxmlformats.org/officeDocument/2006/relationships/ctrlProp" Target="../ctrlProps/ctrlProp103.xml"/><Relationship Id="rId99" Type="http://schemas.openxmlformats.org/officeDocument/2006/relationships/ctrlProp" Target="../ctrlProps/ctrlProp108.xml"/><Relationship Id="rId101" Type="http://schemas.openxmlformats.org/officeDocument/2006/relationships/ctrlProp" Target="../ctrlProps/ctrlProp110.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Q280"/>
  <sheetViews>
    <sheetView showGridLines="0" zoomScaleNormal="100" zoomScaleSheetLayoutView="100" workbookViewId="0">
      <selection activeCell="N8" sqref="N8"/>
    </sheetView>
  </sheetViews>
  <sheetFormatPr defaultColWidth="9" defaultRowHeight="13.2"/>
  <cols>
    <col min="1" max="1" width="0.6640625" style="6" customWidth="1"/>
    <col min="2" max="2" width="3.88671875" style="142" customWidth="1"/>
    <col min="3" max="3" width="3.21875" style="143" customWidth="1"/>
    <col min="4" max="4" width="4.21875" style="43" customWidth="1"/>
    <col min="5" max="5" width="7.21875" style="43" customWidth="1"/>
    <col min="6" max="6" width="7.77734375" style="143" customWidth="1"/>
    <col min="7" max="7" width="3.109375" style="143" customWidth="1"/>
    <col min="8" max="8" width="4.44140625" style="6" customWidth="1"/>
    <col min="9" max="9" width="8.109375" style="6" customWidth="1"/>
    <col min="10" max="10" width="15.88671875" style="6" customWidth="1"/>
    <col min="11" max="11" width="11.88671875" style="6" customWidth="1"/>
    <col min="12" max="12" width="19.21875" style="6" customWidth="1"/>
    <col min="13" max="13" width="9.44140625" style="43" customWidth="1"/>
    <col min="14" max="14" width="10.77734375" style="42" customWidth="1"/>
    <col min="15" max="16384" width="9" style="42"/>
  </cols>
  <sheetData>
    <row r="1" spans="1:15" s="1" customFormat="1" ht="14.25" customHeight="1">
      <c r="B1" s="2"/>
      <c r="C1" s="3" t="s">
        <v>403</v>
      </c>
      <c r="D1" s="4"/>
      <c r="E1" s="4"/>
      <c r="F1" s="3"/>
      <c r="G1" s="3"/>
      <c r="N1" s="5" t="s">
        <v>487</v>
      </c>
      <c r="O1" s="6"/>
    </row>
    <row r="2" spans="1:15" s="1" customFormat="1" ht="15.6">
      <c r="C2" s="3"/>
      <c r="D2" s="7"/>
      <c r="E2" s="8" t="s">
        <v>46</v>
      </c>
      <c r="G2" s="9"/>
      <c r="H2" s="10"/>
      <c r="I2" s="10"/>
      <c r="J2" s="10"/>
      <c r="K2" s="10"/>
      <c r="L2" s="5"/>
    </row>
    <row r="3" spans="1:15" s="1" customFormat="1" ht="12.9" customHeight="1">
      <c r="B3" s="11" t="s">
        <v>126</v>
      </c>
      <c r="C3" s="4"/>
      <c r="D3" s="4"/>
      <c r="E3" s="4"/>
      <c r="F3" s="4"/>
      <c r="G3" s="4"/>
      <c r="H3" s="4"/>
      <c r="I3" s="4"/>
      <c r="J3" s="4"/>
      <c r="K3" s="4"/>
      <c r="L3" s="4"/>
      <c r="N3" s="4"/>
    </row>
    <row r="4" spans="1:15" s="1" customFormat="1" ht="12.6" customHeight="1">
      <c r="B4" s="4"/>
      <c r="C4" s="639" t="s">
        <v>488</v>
      </c>
      <c r="D4" s="639"/>
      <c r="E4" s="639"/>
      <c r="F4" s="639"/>
      <c r="G4" s="639"/>
      <c r="H4" s="639"/>
      <c r="I4" s="639"/>
      <c r="J4" s="639"/>
      <c r="K4" s="639"/>
      <c r="L4" s="639"/>
      <c r="M4" s="639"/>
      <c r="N4" s="4"/>
    </row>
    <row r="5" spans="1:15" s="1" customFormat="1" ht="12.6" customHeight="1">
      <c r="B5" s="4"/>
      <c r="C5" s="333" t="s">
        <v>235</v>
      </c>
      <c r="D5" s="333"/>
      <c r="E5" s="333"/>
      <c r="F5" s="333"/>
      <c r="G5" s="333"/>
      <c r="H5" s="333"/>
      <c r="I5" s="333"/>
      <c r="J5" s="333"/>
      <c r="K5" s="333"/>
      <c r="L5" s="333"/>
      <c r="M5" s="333"/>
      <c r="N5" s="4"/>
    </row>
    <row r="6" spans="1:15" s="1" customFormat="1" ht="12.6" customHeight="1">
      <c r="B6" s="4"/>
      <c r="C6" s="333" t="s">
        <v>344</v>
      </c>
      <c r="D6" s="333"/>
      <c r="E6" s="333"/>
      <c r="F6" s="333"/>
      <c r="G6" s="333"/>
      <c r="H6" s="333"/>
      <c r="I6" s="333"/>
      <c r="J6" s="333"/>
      <c r="K6" s="333"/>
      <c r="L6" s="333"/>
      <c r="M6" s="333"/>
      <c r="N6" s="4"/>
    </row>
    <row r="7" spans="1:15" s="1" customFormat="1" ht="12.6" customHeight="1">
      <c r="B7" s="4"/>
      <c r="C7" s="639" t="s">
        <v>244</v>
      </c>
      <c r="D7" s="639"/>
      <c r="E7" s="639"/>
      <c r="F7" s="639"/>
      <c r="G7" s="639"/>
      <c r="H7" s="639"/>
      <c r="I7" s="639"/>
      <c r="J7" s="639"/>
      <c r="K7" s="639"/>
      <c r="L7" s="639"/>
      <c r="M7" s="639"/>
      <c r="N7" s="4"/>
    </row>
    <row r="8" spans="1:15" s="1" customFormat="1" ht="12.75" customHeight="1">
      <c r="B8" s="4"/>
      <c r="N8" s="4"/>
    </row>
    <row r="9" spans="1:15" s="1" customFormat="1" ht="13.8">
      <c r="A9" s="12"/>
      <c r="B9" s="11" t="s">
        <v>192</v>
      </c>
      <c r="C9" s="13"/>
      <c r="D9" s="13"/>
      <c r="E9" s="13"/>
      <c r="F9" s="13"/>
      <c r="G9" s="4"/>
      <c r="H9" s="4"/>
      <c r="I9" s="4"/>
      <c r="J9" s="4"/>
      <c r="K9" s="4"/>
      <c r="L9" s="4"/>
    </row>
    <row r="10" spans="1:15" s="1" customFormat="1" ht="12.6" customHeight="1">
      <c r="B10" s="4"/>
      <c r="C10" s="639" t="s">
        <v>193</v>
      </c>
      <c r="D10" s="639"/>
      <c r="E10" s="639"/>
      <c r="F10" s="639"/>
      <c r="G10" s="639"/>
      <c r="H10" s="639"/>
      <c r="I10" s="639"/>
      <c r="J10" s="639"/>
      <c r="K10" s="639"/>
      <c r="L10" s="639"/>
      <c r="M10" s="639"/>
    </row>
    <row r="11" spans="1:15" s="1" customFormat="1" ht="12.6" customHeight="1">
      <c r="B11" s="4"/>
      <c r="C11" s="639" t="s">
        <v>236</v>
      </c>
      <c r="D11" s="639"/>
      <c r="E11" s="639"/>
      <c r="F11" s="639"/>
      <c r="G11" s="639"/>
      <c r="H11" s="639"/>
      <c r="I11" s="639"/>
      <c r="J11" s="639"/>
      <c r="K11" s="639"/>
      <c r="L11" s="639"/>
      <c r="M11" s="639"/>
    </row>
    <row r="12" spans="1:15" s="1" customFormat="1" ht="12.6" customHeight="1">
      <c r="B12" s="4"/>
      <c r="C12" s="639" t="s">
        <v>206</v>
      </c>
      <c r="D12" s="639"/>
      <c r="E12" s="639"/>
      <c r="F12" s="639"/>
      <c r="G12" s="639"/>
      <c r="H12" s="639"/>
      <c r="I12" s="639"/>
      <c r="J12" s="639"/>
      <c r="K12" s="639"/>
      <c r="L12" s="639"/>
      <c r="M12" s="639"/>
      <c r="O12" s="14"/>
    </row>
    <row r="13" spans="1:15" s="1" customFormat="1" ht="12.6" customHeight="1">
      <c r="B13" s="4"/>
      <c r="C13" s="639" t="s">
        <v>237</v>
      </c>
      <c r="D13" s="639"/>
      <c r="E13" s="639"/>
      <c r="F13" s="639"/>
      <c r="G13" s="639"/>
      <c r="H13" s="639"/>
      <c r="I13" s="639"/>
      <c r="J13" s="639"/>
      <c r="K13" s="639"/>
      <c r="L13" s="639"/>
      <c r="M13" s="639"/>
      <c r="O13" s="14"/>
    </row>
    <row r="14" spans="1:15" s="1" customFormat="1" ht="12.6" customHeight="1">
      <c r="B14" s="4"/>
      <c r="C14" s="639" t="s">
        <v>194</v>
      </c>
      <c r="D14" s="639"/>
      <c r="E14" s="639"/>
      <c r="F14" s="639"/>
      <c r="G14" s="639"/>
      <c r="H14" s="639"/>
      <c r="I14" s="639"/>
      <c r="J14" s="639"/>
      <c r="K14" s="639"/>
      <c r="L14" s="639"/>
      <c r="M14" s="639"/>
    </row>
    <row r="15" spans="1:15" s="1" customFormat="1" ht="12.6" customHeight="1">
      <c r="B15" s="4"/>
      <c r="C15" s="15" t="s">
        <v>238</v>
      </c>
      <c r="D15" s="4"/>
      <c r="E15" s="16"/>
      <c r="F15" s="16"/>
      <c r="G15" s="4"/>
      <c r="H15" s="16"/>
      <c r="I15" s="16"/>
      <c r="J15" s="16"/>
      <c r="K15" s="16"/>
      <c r="L15" s="16"/>
    </row>
    <row r="16" spans="1:15" s="1" customFormat="1" ht="12.6" customHeight="1">
      <c r="B16" s="16"/>
      <c r="C16" s="15" t="s">
        <v>127</v>
      </c>
      <c r="D16" s="4"/>
      <c r="E16" s="16"/>
      <c r="F16" s="16"/>
      <c r="G16" s="4"/>
      <c r="H16" s="16"/>
      <c r="I16" s="16"/>
      <c r="J16" s="16"/>
      <c r="K16" s="16"/>
      <c r="L16" s="16"/>
    </row>
    <row r="17" spans="2:17" s="1" customFormat="1" ht="13.8">
      <c r="B17" s="17" t="s">
        <v>61</v>
      </c>
      <c r="C17" s="13"/>
      <c r="D17" s="13"/>
      <c r="E17" s="18"/>
      <c r="F17" s="18"/>
      <c r="G17" s="18"/>
      <c r="H17" s="18"/>
      <c r="I17" s="18"/>
      <c r="J17" s="18"/>
      <c r="K17" s="3"/>
      <c r="L17" s="4"/>
    </row>
    <row r="18" spans="2:17" s="1" customFormat="1" ht="12.6" customHeight="1">
      <c r="C18" s="19" t="s">
        <v>345</v>
      </c>
      <c r="D18" s="13"/>
      <c r="E18" s="4"/>
      <c r="F18" s="4"/>
      <c r="G18" s="4"/>
      <c r="H18" s="4"/>
      <c r="I18" s="4"/>
      <c r="J18" s="4"/>
      <c r="K18" s="4"/>
      <c r="L18" s="4"/>
    </row>
    <row r="19" spans="2:17" s="1" customFormat="1" ht="12.6" customHeight="1">
      <c r="C19" s="639" t="s">
        <v>57</v>
      </c>
      <c r="D19" s="639"/>
      <c r="E19" s="639"/>
      <c r="F19" s="639"/>
      <c r="G19" s="639"/>
      <c r="H19" s="639"/>
      <c r="I19" s="639"/>
      <c r="J19" s="639"/>
      <c r="K19" s="639"/>
      <c r="L19" s="639"/>
      <c r="M19" s="639"/>
      <c r="O19" s="20"/>
    </row>
    <row r="20" spans="2:17" s="1" customFormat="1" ht="12.6" customHeight="1">
      <c r="C20" s="13" t="s">
        <v>346</v>
      </c>
      <c r="D20" s="19"/>
      <c r="E20" s="19"/>
      <c r="F20" s="19"/>
      <c r="G20" s="19"/>
      <c r="H20" s="19"/>
      <c r="I20" s="19"/>
      <c r="J20" s="19"/>
      <c r="K20" s="19"/>
      <c r="L20" s="19"/>
      <c r="M20" s="19"/>
      <c r="O20" s="20"/>
    </row>
    <row r="21" spans="2:17" s="1" customFormat="1" ht="12.6" customHeight="1">
      <c r="C21" s="639" t="s">
        <v>347</v>
      </c>
      <c r="D21" s="639"/>
      <c r="E21" s="639"/>
      <c r="F21" s="639"/>
      <c r="G21" s="639"/>
      <c r="H21" s="639"/>
      <c r="I21" s="639"/>
      <c r="J21" s="639"/>
      <c r="K21" s="639"/>
      <c r="L21" s="639"/>
      <c r="M21" s="639"/>
      <c r="N21" s="21"/>
    </row>
    <row r="22" spans="2:17" s="1" customFormat="1" ht="11.25" customHeight="1">
      <c r="C22" s="639" t="s">
        <v>207</v>
      </c>
      <c r="D22" s="639"/>
      <c r="E22" s="639"/>
      <c r="F22" s="639"/>
      <c r="G22" s="639"/>
      <c r="H22" s="639"/>
      <c r="I22" s="639"/>
      <c r="J22" s="639"/>
      <c r="K22" s="639"/>
      <c r="L22" s="639"/>
      <c r="M22" s="639"/>
      <c r="O22" s="14"/>
    </row>
    <row r="23" spans="2:17" s="1" customFormat="1" ht="15" customHeight="1">
      <c r="C23" s="22" t="s">
        <v>348</v>
      </c>
      <c r="D23" s="13"/>
      <c r="E23" s="4"/>
      <c r="F23" s="4"/>
      <c r="G23" s="4"/>
      <c r="H23" s="4"/>
      <c r="I23" s="4"/>
      <c r="J23" s="4"/>
      <c r="K23" s="4"/>
      <c r="L23" s="4"/>
    </row>
    <row r="24" spans="2:17" s="1" customFormat="1" ht="12.6" customHeight="1">
      <c r="C24" s="15" t="s">
        <v>128</v>
      </c>
      <c r="D24" s="11"/>
      <c r="E24" s="23"/>
      <c r="F24" s="3"/>
      <c r="G24" s="648" t="s">
        <v>195</v>
      </c>
      <c r="H24" s="648"/>
      <c r="I24" s="648"/>
      <c r="J24" s="648"/>
      <c r="K24" s="648"/>
      <c r="L24" s="648"/>
      <c r="M24" s="648"/>
      <c r="N24" s="4"/>
      <c r="O24" s="4"/>
      <c r="P24" s="4"/>
      <c r="Q24" s="4"/>
    </row>
    <row r="25" spans="2:17" s="1" customFormat="1" ht="12.6" customHeight="1">
      <c r="C25" s="24" t="s">
        <v>129</v>
      </c>
      <c r="D25" s="25"/>
      <c r="E25" s="26"/>
      <c r="F25" s="26"/>
      <c r="G25" s="646" t="s">
        <v>218</v>
      </c>
      <c r="H25" s="646"/>
      <c r="I25" s="646"/>
      <c r="J25" s="646"/>
      <c r="K25" s="646"/>
      <c r="L25" s="646"/>
      <c r="M25" s="646"/>
      <c r="N25" s="4"/>
      <c r="O25" s="4"/>
      <c r="P25" s="4"/>
      <c r="Q25" s="4"/>
    </row>
    <row r="26" spans="2:17" s="1" customFormat="1" ht="12.6" customHeight="1">
      <c r="C26" s="27" t="s">
        <v>219</v>
      </c>
      <c r="D26" s="4"/>
      <c r="E26" s="3"/>
      <c r="F26" s="3"/>
      <c r="G26" s="645" t="s">
        <v>419</v>
      </c>
      <c r="H26" s="645"/>
      <c r="I26" s="645"/>
      <c r="J26" s="645"/>
      <c r="K26" s="645"/>
      <c r="L26" s="645"/>
      <c r="M26" s="645"/>
      <c r="N26" s="4"/>
      <c r="O26" s="4"/>
      <c r="P26" s="4"/>
      <c r="Q26" s="4"/>
    </row>
    <row r="27" spans="2:17" s="1" customFormat="1" ht="12.6" customHeight="1">
      <c r="C27" s="11"/>
      <c r="D27" s="11"/>
      <c r="E27" s="3"/>
      <c r="F27" s="3"/>
      <c r="G27" s="648" t="s">
        <v>239</v>
      </c>
      <c r="H27" s="648"/>
      <c r="I27" s="648"/>
      <c r="J27" s="648"/>
      <c r="K27" s="648"/>
      <c r="L27" s="648"/>
      <c r="M27" s="648"/>
      <c r="N27" s="4"/>
      <c r="O27" s="4"/>
      <c r="P27" s="4"/>
      <c r="Q27" s="4"/>
    </row>
    <row r="28" spans="2:17" s="1" customFormat="1" ht="12.6" customHeight="1">
      <c r="C28" s="11"/>
      <c r="D28" s="11"/>
      <c r="E28" s="3"/>
      <c r="F28" s="3"/>
      <c r="G28" s="28" t="s">
        <v>331</v>
      </c>
      <c r="H28" s="28"/>
      <c r="I28" s="28"/>
      <c r="J28" s="28"/>
      <c r="K28" s="28"/>
      <c r="L28" s="28"/>
      <c r="M28" s="28"/>
      <c r="N28" s="4"/>
      <c r="O28" s="4"/>
      <c r="P28" s="4"/>
      <c r="Q28" s="4"/>
    </row>
    <row r="29" spans="2:17" s="1" customFormat="1" ht="12.6" customHeight="1">
      <c r="C29" s="29" t="s">
        <v>196</v>
      </c>
      <c r="D29" s="30"/>
      <c r="E29" s="31"/>
      <c r="F29" s="31"/>
      <c r="G29" s="647" t="s">
        <v>240</v>
      </c>
      <c r="H29" s="647"/>
      <c r="I29" s="647"/>
      <c r="J29" s="647"/>
      <c r="K29" s="647"/>
      <c r="L29" s="647"/>
      <c r="M29" s="647"/>
      <c r="N29" s="4"/>
      <c r="O29" s="4"/>
      <c r="P29" s="4"/>
      <c r="Q29" s="4"/>
    </row>
    <row r="30" spans="2:17" s="1" customFormat="1" ht="12.6" customHeight="1">
      <c r="C30" s="32" t="s">
        <v>220</v>
      </c>
      <c r="D30" s="33"/>
      <c r="E30" s="34"/>
      <c r="F30" s="34"/>
      <c r="G30" s="35" t="s">
        <v>221</v>
      </c>
      <c r="H30" s="36"/>
      <c r="I30" s="36"/>
      <c r="J30" s="36"/>
      <c r="K30" s="36"/>
      <c r="L30" s="37"/>
      <c r="N30" s="4"/>
      <c r="O30" s="4"/>
      <c r="P30" s="4"/>
      <c r="Q30" s="4"/>
    </row>
    <row r="31" spans="2:17" s="1" customFormat="1" ht="12.6" customHeight="1">
      <c r="C31" s="32"/>
      <c r="D31" s="33"/>
      <c r="E31" s="34"/>
      <c r="F31" s="34"/>
      <c r="G31" s="28" t="s">
        <v>330</v>
      </c>
      <c r="H31" s="36"/>
      <c r="I31" s="36"/>
      <c r="J31" s="36"/>
      <c r="K31" s="36"/>
      <c r="L31" s="37"/>
      <c r="N31" s="4"/>
      <c r="O31" s="4"/>
      <c r="P31" s="4"/>
      <c r="Q31" s="4"/>
    </row>
    <row r="32" spans="2:17" s="1" customFormat="1" ht="12.6" customHeight="1">
      <c r="C32" s="38" t="s">
        <v>269</v>
      </c>
      <c r="D32" s="25"/>
      <c r="E32" s="26"/>
      <c r="F32" s="26"/>
      <c r="G32" s="381" t="s">
        <v>440</v>
      </c>
      <c r="H32" s="381"/>
      <c r="I32" s="381"/>
      <c r="J32" s="381"/>
      <c r="K32" s="381"/>
      <c r="L32" s="381"/>
      <c r="M32" s="381"/>
    </row>
    <row r="33" spans="2:15" s="1" customFormat="1" ht="12.6" customHeight="1">
      <c r="C33" s="38"/>
      <c r="D33" s="25"/>
      <c r="E33" s="26"/>
      <c r="F33" s="26"/>
      <c r="G33" s="35" t="s">
        <v>55</v>
      </c>
      <c r="H33" s="35"/>
      <c r="I33" s="35"/>
      <c r="J33" s="35"/>
      <c r="K33" s="35"/>
      <c r="L33" s="35"/>
      <c r="M33" s="35"/>
    </row>
    <row r="34" spans="2:15" s="1" customFormat="1" ht="12.6" customHeight="1">
      <c r="C34" s="38"/>
      <c r="D34" s="25"/>
      <c r="E34" s="26"/>
      <c r="F34" s="26"/>
      <c r="G34" s="646" t="s">
        <v>208</v>
      </c>
      <c r="H34" s="646"/>
      <c r="I34" s="646"/>
      <c r="J34" s="646"/>
      <c r="K34" s="646"/>
      <c r="L34" s="646"/>
      <c r="M34" s="646"/>
      <c r="O34" s="6"/>
    </row>
    <row r="35" spans="2:15" s="1" customFormat="1" ht="4.5" customHeight="1">
      <c r="C35" s="38"/>
      <c r="D35" s="25"/>
      <c r="E35" s="26"/>
      <c r="F35" s="26"/>
      <c r="G35" s="35"/>
      <c r="H35" s="35"/>
      <c r="I35" s="35"/>
      <c r="J35" s="35"/>
      <c r="K35" s="35"/>
      <c r="L35" s="35"/>
      <c r="M35" s="35"/>
      <c r="O35" s="6"/>
    </row>
    <row r="36" spans="2:15" s="1" customFormat="1" ht="12.6" customHeight="1">
      <c r="C36" s="649" t="s">
        <v>349</v>
      </c>
      <c r="D36" s="649"/>
      <c r="E36" s="649"/>
      <c r="F36" s="649"/>
      <c r="G36" s="649"/>
      <c r="H36" s="649"/>
      <c r="I36" s="649"/>
      <c r="J36" s="649"/>
      <c r="K36" s="649"/>
      <c r="L36" s="649"/>
      <c r="M36" s="649"/>
    </row>
    <row r="37" spans="2:15" s="1" customFormat="1" ht="12.6" customHeight="1">
      <c r="C37" s="39" t="s">
        <v>200</v>
      </c>
      <c r="D37" s="30"/>
      <c r="E37" s="26"/>
      <c r="F37" s="28" t="s">
        <v>58</v>
      </c>
      <c r="H37" s="28"/>
      <c r="J37" s="28"/>
      <c r="K37" s="28"/>
      <c r="L37" s="28"/>
      <c r="M37" s="28"/>
      <c r="O37" s="14"/>
    </row>
    <row r="38" spans="2:15" s="1" customFormat="1" ht="12.6" customHeight="1">
      <c r="C38" s="24" t="s">
        <v>201</v>
      </c>
      <c r="D38" s="30"/>
      <c r="E38" s="26"/>
      <c r="F38" s="28" t="s">
        <v>350</v>
      </c>
      <c r="H38" s="28"/>
      <c r="J38" s="28"/>
      <c r="K38" s="28"/>
      <c r="L38" s="28"/>
      <c r="M38" s="28"/>
      <c r="N38" s="3"/>
      <c r="O38" s="14"/>
    </row>
    <row r="39" spans="2:15" s="1" customFormat="1" ht="12.6" customHeight="1">
      <c r="C39" s="24"/>
      <c r="D39" s="30" t="s">
        <v>351</v>
      </c>
      <c r="E39" s="26"/>
      <c r="G39" s="27" t="s">
        <v>261</v>
      </c>
      <c r="H39" s="28"/>
      <c r="I39" s="28"/>
      <c r="J39" s="648" t="s">
        <v>273</v>
      </c>
      <c r="K39" s="648"/>
      <c r="L39" s="648"/>
      <c r="M39" s="648"/>
      <c r="N39" s="3"/>
      <c r="O39" s="14"/>
    </row>
    <row r="40" spans="2:15" s="1" customFormat="1" ht="12.6" customHeight="1">
      <c r="C40" s="24"/>
      <c r="D40" s="30" t="s">
        <v>351</v>
      </c>
      <c r="E40" s="26"/>
      <c r="F40" s="40"/>
      <c r="G40" s="27" t="s">
        <v>260</v>
      </c>
      <c r="H40" s="40"/>
      <c r="I40" s="40"/>
      <c r="J40" s="648" t="s">
        <v>274</v>
      </c>
      <c r="K40" s="648"/>
      <c r="L40" s="648"/>
      <c r="M40" s="648"/>
      <c r="N40" s="3"/>
      <c r="O40" s="14"/>
    </row>
    <row r="41" spans="2:15" s="1" customFormat="1" ht="6" customHeight="1">
      <c r="C41" s="24"/>
      <c r="D41" s="30"/>
      <c r="E41" s="26"/>
      <c r="F41" s="40"/>
      <c r="G41" s="27"/>
      <c r="H41" s="40"/>
      <c r="I41" s="40"/>
      <c r="J41" s="28"/>
      <c r="K41" s="28"/>
      <c r="L41" s="28"/>
      <c r="M41" s="28"/>
      <c r="N41" s="3"/>
      <c r="O41" s="14"/>
    </row>
    <row r="42" spans="2:15" s="1" customFormat="1" ht="13.5" customHeight="1">
      <c r="C42" s="649" t="s">
        <v>352</v>
      </c>
      <c r="D42" s="649"/>
      <c r="E42" s="649"/>
      <c r="F42" s="649"/>
      <c r="G42" s="649"/>
      <c r="H42" s="649"/>
      <c r="I42" s="649"/>
      <c r="J42" s="649"/>
      <c r="K42" s="649"/>
      <c r="L42" s="649"/>
      <c r="M42" s="649"/>
      <c r="N42" s="3"/>
    </row>
    <row r="43" spans="2:15" s="1" customFormat="1" ht="12.6" customHeight="1">
      <c r="C43" s="24" t="s">
        <v>152</v>
      </c>
      <c r="D43" s="30"/>
      <c r="E43" s="26"/>
      <c r="F43" s="644" t="s">
        <v>353</v>
      </c>
      <c r="G43" s="644"/>
      <c r="H43" s="644"/>
      <c r="I43" s="644"/>
      <c r="J43" s="644"/>
      <c r="K43" s="644"/>
      <c r="L43" s="644"/>
      <c r="M43" s="644"/>
      <c r="N43" s="3"/>
      <c r="O43" s="3"/>
    </row>
    <row r="44" spans="2:15" s="1" customFormat="1" ht="12.6" customHeight="1">
      <c r="C44" s="24" t="s">
        <v>153</v>
      </c>
      <c r="D44" s="30"/>
      <c r="E44" s="26"/>
      <c r="F44" s="644" t="s">
        <v>354</v>
      </c>
      <c r="G44" s="644"/>
      <c r="H44" s="644"/>
      <c r="I44" s="644"/>
      <c r="J44" s="644"/>
      <c r="K44" s="644"/>
      <c r="L44" s="644"/>
      <c r="M44" s="644"/>
      <c r="N44" s="3"/>
      <c r="O44" s="3"/>
    </row>
    <row r="45" spans="2:15" s="1" customFormat="1" ht="4.5" customHeight="1">
      <c r="C45" s="11"/>
      <c r="D45" s="4"/>
      <c r="E45" s="3"/>
      <c r="G45" s="18"/>
      <c r="H45" s="21"/>
      <c r="I45" s="21"/>
      <c r="J45" s="21"/>
      <c r="K45" s="21"/>
      <c r="L45" s="21"/>
      <c r="N45" s="21"/>
      <c r="O45" s="21"/>
    </row>
    <row r="46" spans="2:15" s="1" customFormat="1" ht="13.8">
      <c r="B46" s="11" t="s">
        <v>197</v>
      </c>
      <c r="C46" s="4"/>
      <c r="D46" s="4"/>
      <c r="E46" s="4"/>
      <c r="F46" s="4"/>
      <c r="G46" s="4"/>
      <c r="H46" s="4"/>
      <c r="I46" s="4"/>
      <c r="J46" s="4"/>
      <c r="K46" s="4"/>
      <c r="L46" s="4"/>
      <c r="N46" s="21"/>
      <c r="O46" s="3"/>
    </row>
    <row r="47" spans="2:15" s="1" customFormat="1" ht="12.6" customHeight="1">
      <c r="B47" s="4"/>
      <c r="C47" s="639" t="s">
        <v>241</v>
      </c>
      <c r="D47" s="639"/>
      <c r="E47" s="639"/>
      <c r="F47" s="639"/>
      <c r="G47" s="639"/>
      <c r="H47" s="639"/>
      <c r="I47" s="639"/>
      <c r="J47" s="639"/>
      <c r="K47" s="639"/>
      <c r="L47" s="639"/>
      <c r="M47" s="639"/>
      <c r="N47" s="21"/>
      <c r="O47" s="3"/>
    </row>
    <row r="48" spans="2:15" s="1" customFormat="1" ht="13.8">
      <c r="B48" s="11" t="s">
        <v>29</v>
      </c>
      <c r="C48" s="4"/>
      <c r="D48" s="4"/>
      <c r="E48" s="4"/>
      <c r="F48" s="4"/>
      <c r="G48" s="4"/>
      <c r="H48" s="4"/>
      <c r="I48" s="4"/>
      <c r="J48" s="4"/>
      <c r="K48" s="4"/>
      <c r="L48" s="4"/>
      <c r="N48" s="21"/>
      <c r="O48" s="21"/>
    </row>
    <row r="49" spans="2:15" s="1" customFormat="1" ht="12.6" customHeight="1">
      <c r="B49" s="4"/>
      <c r="C49" s="641" t="s">
        <v>30</v>
      </c>
      <c r="D49" s="641"/>
      <c r="E49" s="641"/>
      <c r="F49" s="641"/>
      <c r="G49" s="641"/>
      <c r="H49" s="641"/>
      <c r="I49" s="641"/>
      <c r="J49" s="641"/>
      <c r="K49" s="641"/>
      <c r="L49" s="641"/>
      <c r="M49" s="641"/>
      <c r="N49" s="21"/>
      <c r="O49" s="21"/>
    </row>
    <row r="50" spans="2:15" s="1" customFormat="1" ht="12.6" customHeight="1">
      <c r="B50" s="4"/>
      <c r="C50" s="641" t="s">
        <v>31</v>
      </c>
      <c r="D50" s="641"/>
      <c r="E50" s="641"/>
      <c r="F50" s="641"/>
      <c r="G50" s="641"/>
      <c r="H50" s="641"/>
      <c r="I50" s="641"/>
      <c r="J50" s="641"/>
      <c r="K50" s="641"/>
      <c r="L50" s="641"/>
      <c r="M50" s="641"/>
      <c r="N50" s="21"/>
      <c r="O50" s="21"/>
    </row>
    <row r="51" spans="2:15" s="1" customFormat="1" ht="12.6" customHeight="1">
      <c r="B51" s="4"/>
      <c r="C51" s="642" t="s">
        <v>59</v>
      </c>
      <c r="D51" s="642"/>
      <c r="E51" s="642"/>
      <c r="F51" s="642"/>
      <c r="G51" s="642"/>
      <c r="H51" s="642"/>
      <c r="I51" s="642"/>
      <c r="J51" s="642"/>
      <c r="K51" s="642"/>
      <c r="L51" s="642"/>
      <c r="M51" s="642"/>
      <c r="N51" s="21"/>
      <c r="O51" s="21"/>
    </row>
    <row r="52" spans="2:15" s="1" customFormat="1" ht="12.6" customHeight="1">
      <c r="B52" s="4"/>
      <c r="C52" s="651" t="s">
        <v>48</v>
      </c>
      <c r="D52" s="651"/>
      <c r="E52" s="651"/>
      <c r="F52" s="651"/>
      <c r="G52" s="651"/>
      <c r="H52" s="651"/>
      <c r="I52" s="651"/>
      <c r="J52" s="651"/>
      <c r="K52" s="651"/>
      <c r="L52" s="651"/>
      <c r="M52" s="651"/>
      <c r="N52" s="21"/>
      <c r="O52" s="3"/>
    </row>
    <row r="53" spans="2:15" s="1" customFormat="1" ht="12.6" customHeight="1">
      <c r="B53" s="4"/>
      <c r="C53" s="643" t="s">
        <v>32</v>
      </c>
      <c r="D53" s="643"/>
      <c r="E53" s="643"/>
      <c r="F53" s="643"/>
      <c r="G53" s="643"/>
      <c r="H53" s="643"/>
      <c r="I53" s="643"/>
      <c r="J53" s="643"/>
      <c r="K53" s="643"/>
      <c r="L53" s="643"/>
      <c r="M53" s="643"/>
      <c r="N53" s="21"/>
      <c r="O53" s="21"/>
    </row>
    <row r="54" spans="2:15" s="1" customFormat="1" ht="12.6" customHeight="1">
      <c r="B54" s="4"/>
      <c r="C54" s="642" t="s">
        <v>33</v>
      </c>
      <c r="D54" s="642"/>
      <c r="E54" s="642"/>
      <c r="F54" s="642"/>
      <c r="G54" s="642"/>
      <c r="H54" s="642"/>
      <c r="I54" s="642"/>
      <c r="J54" s="642"/>
      <c r="K54" s="642"/>
      <c r="L54" s="642"/>
      <c r="M54" s="642"/>
      <c r="N54" s="21"/>
      <c r="O54" s="3"/>
    </row>
    <row r="55" spans="2:15" s="1" customFormat="1" ht="13.8">
      <c r="B55" s="11" t="s">
        <v>130</v>
      </c>
      <c r="C55" s="11"/>
      <c r="D55" s="11"/>
      <c r="E55" s="3"/>
      <c r="F55" s="3"/>
      <c r="G55" s="3"/>
      <c r="H55" s="3"/>
      <c r="I55" s="3"/>
      <c r="J55" s="3"/>
      <c r="K55" s="3"/>
      <c r="L55" s="4"/>
    </row>
    <row r="56" spans="2:15" s="1" customFormat="1" ht="12.6" customHeight="1">
      <c r="C56" s="639" t="s">
        <v>34</v>
      </c>
      <c r="D56" s="639"/>
      <c r="E56" s="639"/>
      <c r="F56" s="639"/>
      <c r="G56" s="639"/>
      <c r="H56" s="639"/>
      <c r="I56" s="639"/>
      <c r="J56" s="639"/>
      <c r="K56" s="639"/>
      <c r="L56" s="639"/>
      <c r="M56" s="639"/>
    </row>
    <row r="57" spans="2:15" s="1" customFormat="1" ht="12.6" customHeight="1">
      <c r="C57" s="642" t="s">
        <v>35</v>
      </c>
      <c r="D57" s="642"/>
      <c r="E57" s="642"/>
      <c r="F57" s="642"/>
      <c r="G57" s="642"/>
      <c r="H57" s="642"/>
      <c r="I57" s="642"/>
      <c r="J57" s="642"/>
      <c r="K57" s="642"/>
      <c r="L57" s="642"/>
      <c r="M57" s="642"/>
    </row>
    <row r="58" spans="2:15" s="1" customFormat="1" ht="12.6" customHeight="1">
      <c r="C58" s="639" t="s">
        <v>36</v>
      </c>
      <c r="D58" s="639"/>
      <c r="E58" s="639"/>
      <c r="F58" s="639"/>
      <c r="G58" s="639"/>
      <c r="H58" s="639"/>
      <c r="I58" s="639"/>
      <c r="J58" s="639"/>
      <c r="K58" s="639"/>
      <c r="L58" s="639"/>
      <c r="M58" s="639"/>
    </row>
    <row r="59" spans="2:15" s="1" customFormat="1" ht="12.6" customHeight="1">
      <c r="C59" s="642" t="s">
        <v>289</v>
      </c>
      <c r="D59" s="642"/>
      <c r="E59" s="642"/>
      <c r="F59" s="642"/>
      <c r="G59" s="642"/>
      <c r="H59" s="642"/>
      <c r="I59" s="642"/>
      <c r="J59" s="642"/>
      <c r="K59" s="642"/>
      <c r="L59" s="642"/>
      <c r="M59" s="642"/>
    </row>
    <row r="60" spans="2:15" s="1" customFormat="1" ht="12.6" customHeight="1">
      <c r="C60" s="13" t="s">
        <v>303</v>
      </c>
      <c r="D60" s="13"/>
      <c r="E60" s="13"/>
      <c r="F60" s="13"/>
      <c r="G60" s="13"/>
      <c r="H60" s="13"/>
      <c r="I60" s="13"/>
      <c r="J60" s="13"/>
      <c r="K60" s="13"/>
      <c r="L60" s="13"/>
      <c r="M60" s="13"/>
    </row>
    <row r="61" spans="2:15" s="1" customFormat="1" ht="12.6" customHeight="1">
      <c r="C61" s="642" t="s">
        <v>302</v>
      </c>
      <c r="D61" s="642"/>
      <c r="E61" s="642"/>
      <c r="F61" s="642"/>
      <c r="G61" s="642"/>
      <c r="H61" s="642"/>
      <c r="I61" s="642"/>
      <c r="J61" s="642"/>
      <c r="K61" s="642"/>
      <c r="L61" s="642"/>
      <c r="M61" s="642"/>
      <c r="N61" s="642"/>
    </row>
    <row r="62" spans="2:15" s="1" customFormat="1" ht="12.6" customHeight="1">
      <c r="C62" s="641" t="s">
        <v>47</v>
      </c>
      <c r="D62" s="641"/>
      <c r="E62" s="641"/>
      <c r="F62" s="641"/>
      <c r="G62" s="641"/>
      <c r="H62" s="641"/>
      <c r="I62" s="641"/>
      <c r="J62" s="641"/>
      <c r="K62" s="641"/>
      <c r="L62" s="641"/>
      <c r="M62" s="641"/>
    </row>
    <row r="63" spans="2:15" s="1" customFormat="1" ht="13.8">
      <c r="B63" s="11" t="s">
        <v>245</v>
      </c>
      <c r="C63" s="13"/>
      <c r="D63" s="13"/>
      <c r="E63" s="3"/>
      <c r="F63" s="3"/>
      <c r="G63" s="3"/>
      <c r="H63" s="3"/>
      <c r="I63" s="3"/>
      <c r="J63" s="3"/>
      <c r="K63" s="3"/>
      <c r="L63" s="4"/>
    </row>
    <row r="64" spans="2:15" s="1" customFormat="1" ht="12.6" customHeight="1">
      <c r="C64" s="639" t="s">
        <v>131</v>
      </c>
      <c r="D64" s="639"/>
      <c r="E64" s="639"/>
      <c r="F64" s="639"/>
      <c r="G64" s="639"/>
      <c r="H64" s="639"/>
      <c r="I64" s="639"/>
      <c r="J64" s="639"/>
      <c r="K64" s="639"/>
      <c r="L64" s="639"/>
      <c r="M64" s="639"/>
    </row>
    <row r="65" spans="1:15" s="1" customFormat="1" ht="12.6" customHeight="1">
      <c r="C65" s="650" t="s">
        <v>222</v>
      </c>
      <c r="D65" s="650"/>
      <c r="E65" s="650"/>
      <c r="F65" s="650"/>
      <c r="G65" s="650"/>
      <c r="H65" s="650"/>
      <c r="I65" s="650"/>
      <c r="J65" s="650"/>
      <c r="K65" s="650"/>
      <c r="L65" s="650"/>
      <c r="M65" s="650"/>
      <c r="O65" s="14"/>
    </row>
    <row r="66" spans="1:15" s="1" customFormat="1" ht="13.8">
      <c r="B66" s="17" t="s">
        <v>242</v>
      </c>
      <c r="C66" s="13"/>
      <c r="D66" s="13"/>
      <c r="E66" s="3"/>
      <c r="F66" s="3"/>
      <c r="G66" s="3"/>
      <c r="H66" s="3"/>
      <c r="I66" s="3"/>
      <c r="J66" s="3"/>
      <c r="K66" s="3"/>
      <c r="L66" s="4"/>
    </row>
    <row r="67" spans="1:15" s="1" customFormat="1" ht="12.6" customHeight="1">
      <c r="B67" s="41"/>
      <c r="C67" s="639" t="s">
        <v>223</v>
      </c>
      <c r="D67" s="639"/>
      <c r="E67" s="639"/>
      <c r="F67" s="639"/>
      <c r="G67" s="639"/>
      <c r="H67" s="639"/>
      <c r="I67" s="639"/>
      <c r="J67" s="639"/>
      <c r="K67" s="639"/>
      <c r="L67" s="639"/>
      <c r="M67" s="639"/>
    </row>
    <row r="68" spans="1:15" s="1" customFormat="1" ht="12.6" customHeight="1">
      <c r="B68" s="41"/>
      <c r="C68" s="640" t="s">
        <v>420</v>
      </c>
      <c r="D68" s="640"/>
      <c r="E68" s="640"/>
      <c r="F68" s="640"/>
      <c r="G68" s="640"/>
      <c r="H68" s="640"/>
      <c r="I68" s="640"/>
      <c r="J68" s="640"/>
      <c r="K68" s="640"/>
      <c r="L68" s="640"/>
      <c r="M68" s="640"/>
    </row>
    <row r="69" spans="1:15" s="1" customFormat="1" ht="12.6" customHeight="1">
      <c r="C69" s="639" t="s">
        <v>489</v>
      </c>
      <c r="D69" s="639"/>
      <c r="E69" s="639"/>
      <c r="F69" s="639"/>
      <c r="G69" s="639"/>
      <c r="H69" s="639"/>
      <c r="I69" s="639"/>
      <c r="J69" s="639"/>
      <c r="K69" s="639"/>
      <c r="L69" s="639"/>
      <c r="M69" s="639"/>
    </row>
    <row r="70" spans="1:15" s="1" customFormat="1" ht="12.6" customHeight="1">
      <c r="C70" s="639" t="s">
        <v>132</v>
      </c>
      <c r="D70" s="639"/>
      <c r="E70" s="639"/>
      <c r="F70" s="639"/>
      <c r="G70" s="639"/>
      <c r="H70" s="639"/>
      <c r="I70" s="639"/>
      <c r="J70" s="639"/>
      <c r="K70" s="639"/>
      <c r="L70" s="639"/>
      <c r="M70" s="639"/>
    </row>
    <row r="71" spans="1:15" s="1" customFormat="1" ht="12.6" customHeight="1">
      <c r="C71" s="643"/>
      <c r="D71" s="643"/>
      <c r="E71" s="643"/>
      <c r="F71" s="643"/>
      <c r="G71" s="643"/>
      <c r="H71" s="643"/>
      <c r="I71" s="643"/>
      <c r="J71" s="643"/>
      <c r="K71" s="341"/>
      <c r="L71" s="42"/>
      <c r="M71" s="19"/>
    </row>
    <row r="72" spans="1:15" s="1" customFormat="1" ht="12.6" customHeight="1">
      <c r="C72" s="334"/>
      <c r="D72" s="334"/>
      <c r="E72" s="334"/>
      <c r="F72" s="334"/>
      <c r="G72" s="334"/>
      <c r="H72" s="334"/>
      <c r="I72" s="334"/>
      <c r="J72" s="334"/>
      <c r="K72" s="341"/>
      <c r="L72" s="42"/>
      <c r="M72" s="333"/>
    </row>
    <row r="73" spans="1:15" ht="14.25" customHeight="1">
      <c r="A73" s="1"/>
      <c r="B73" s="44" t="s">
        <v>405</v>
      </c>
      <c r="C73" s="3"/>
      <c r="D73" s="13"/>
      <c r="E73" s="13"/>
      <c r="F73" s="3"/>
      <c r="G73" s="3"/>
      <c r="H73" s="3"/>
      <c r="I73" s="3"/>
      <c r="J73" s="3"/>
      <c r="K73" s="3"/>
      <c r="L73" s="3"/>
      <c r="N73" s="5" t="str">
        <f>N1</f>
        <v>Rev.11_07</v>
      </c>
      <c r="O73" s="1"/>
    </row>
    <row r="74" spans="1:15" ht="16.2" thickBot="1">
      <c r="B74" s="44" t="s">
        <v>407</v>
      </c>
      <c r="C74" s="3"/>
      <c r="D74" s="13"/>
      <c r="E74" s="4"/>
      <c r="F74" s="1"/>
      <c r="G74" s="3"/>
      <c r="H74" s="3"/>
      <c r="I74" s="3"/>
      <c r="J74" s="3"/>
      <c r="K74" s="3"/>
      <c r="L74" s="4"/>
      <c r="M74" s="1"/>
    </row>
    <row r="75" spans="1:15" ht="39.75" customHeight="1" thickBot="1">
      <c r="B75" s="652" t="s">
        <v>156</v>
      </c>
      <c r="C75" s="653"/>
      <c r="D75" s="575" t="s">
        <v>151</v>
      </c>
      <c r="E75" s="574"/>
      <c r="F75" s="518" t="s">
        <v>12</v>
      </c>
      <c r="G75" s="519"/>
      <c r="H75" s="519"/>
      <c r="I75" s="519"/>
      <c r="J75" s="519"/>
      <c r="K75" s="519"/>
      <c r="L75" s="607"/>
      <c r="M75" s="397" t="s">
        <v>27</v>
      </c>
      <c r="N75" s="45"/>
    </row>
    <row r="76" spans="1:15" ht="14.1" customHeight="1" thickTop="1">
      <c r="B76" s="505">
        <v>1</v>
      </c>
      <c r="C76" s="619"/>
      <c r="D76" s="622" t="s">
        <v>157</v>
      </c>
      <c r="E76" s="623"/>
      <c r="F76" s="608" t="s">
        <v>13</v>
      </c>
      <c r="G76" s="609"/>
      <c r="H76" s="609"/>
      <c r="I76" s="609"/>
      <c r="J76" s="609"/>
      <c r="K76" s="609"/>
      <c r="L76" s="610"/>
      <c r="M76" s="409" t="s">
        <v>0</v>
      </c>
      <c r="N76" s="46"/>
    </row>
    <row r="77" spans="1:15" ht="24.75" customHeight="1">
      <c r="B77" s="654"/>
      <c r="C77" s="655"/>
      <c r="D77" s="656"/>
      <c r="E77" s="657"/>
      <c r="F77" s="531" t="s">
        <v>445</v>
      </c>
      <c r="G77" s="532"/>
      <c r="H77" s="532"/>
      <c r="I77" s="532"/>
      <c r="J77" s="532"/>
      <c r="K77" s="532"/>
      <c r="L77" s="533"/>
      <c r="M77" s="410" t="s">
        <v>451</v>
      </c>
      <c r="N77" s="47"/>
    </row>
    <row r="78" spans="1:15" ht="26.1" customHeight="1">
      <c r="B78" s="654"/>
      <c r="C78" s="655"/>
      <c r="D78" s="656"/>
      <c r="E78" s="657"/>
      <c r="F78" s="611" t="s">
        <v>446</v>
      </c>
      <c r="G78" s="612"/>
      <c r="H78" s="612"/>
      <c r="I78" s="612"/>
      <c r="J78" s="612"/>
      <c r="K78" s="612"/>
      <c r="L78" s="613"/>
      <c r="M78" s="411">
        <v>21</v>
      </c>
      <c r="N78" s="396"/>
    </row>
    <row r="79" spans="1:15" ht="14.1" customHeight="1">
      <c r="B79" s="636">
        <v>3</v>
      </c>
      <c r="C79" s="632"/>
      <c r="D79" s="534" t="s">
        <v>158</v>
      </c>
      <c r="E79" s="632"/>
      <c r="F79" s="684" t="s">
        <v>475</v>
      </c>
      <c r="G79" s="685"/>
      <c r="H79" s="685"/>
      <c r="I79" s="685"/>
      <c r="J79" s="685"/>
      <c r="K79" s="685"/>
      <c r="L79" s="686"/>
      <c r="M79" s="412" t="s">
        <v>474</v>
      </c>
      <c r="N79" s="405" t="s">
        <v>484</v>
      </c>
    </row>
    <row r="80" spans="1:15" ht="14.1" customHeight="1">
      <c r="B80" s="637"/>
      <c r="C80" s="634"/>
      <c r="D80" s="633"/>
      <c r="E80" s="634"/>
      <c r="F80" s="531" t="s">
        <v>472</v>
      </c>
      <c r="G80" s="532"/>
      <c r="H80" s="532"/>
      <c r="I80" s="532"/>
      <c r="J80" s="532"/>
      <c r="K80" s="532"/>
      <c r="L80" s="533"/>
      <c r="M80" s="413" t="s">
        <v>473</v>
      </c>
      <c r="N80" s="404"/>
    </row>
    <row r="81" spans="2:14" ht="27.75" customHeight="1">
      <c r="B81" s="637"/>
      <c r="C81" s="634"/>
      <c r="D81" s="633"/>
      <c r="E81" s="634"/>
      <c r="F81" s="531" t="s">
        <v>14</v>
      </c>
      <c r="G81" s="532"/>
      <c r="H81" s="532"/>
      <c r="I81" s="532"/>
      <c r="J81" s="532"/>
      <c r="K81" s="532"/>
      <c r="L81" s="533"/>
      <c r="M81" s="410" t="s">
        <v>1</v>
      </c>
      <c r="N81" s="47"/>
    </row>
    <row r="82" spans="2:14" ht="14.1" customHeight="1">
      <c r="B82" s="637"/>
      <c r="C82" s="634"/>
      <c r="D82" s="633"/>
      <c r="E82" s="634"/>
      <c r="F82" s="531" t="s">
        <v>15</v>
      </c>
      <c r="G82" s="532"/>
      <c r="H82" s="532"/>
      <c r="I82" s="532"/>
      <c r="J82" s="532"/>
      <c r="K82" s="532"/>
      <c r="L82" s="533"/>
      <c r="M82" s="410" t="s">
        <v>2</v>
      </c>
      <c r="N82" s="47"/>
    </row>
    <row r="83" spans="2:14" ht="14.1" customHeight="1">
      <c r="B83" s="637"/>
      <c r="C83" s="634"/>
      <c r="D83" s="633"/>
      <c r="E83" s="634"/>
      <c r="F83" s="531" t="s">
        <v>16</v>
      </c>
      <c r="G83" s="532"/>
      <c r="H83" s="532"/>
      <c r="I83" s="532"/>
      <c r="J83" s="532"/>
      <c r="K83" s="532"/>
      <c r="L83" s="533"/>
      <c r="M83" s="414" t="s">
        <v>3</v>
      </c>
      <c r="N83" s="48"/>
    </row>
    <row r="84" spans="2:14" ht="26.1" customHeight="1">
      <c r="B84" s="637"/>
      <c r="C84" s="634"/>
      <c r="D84" s="633"/>
      <c r="E84" s="634"/>
      <c r="F84" s="531" t="s">
        <v>17</v>
      </c>
      <c r="G84" s="532"/>
      <c r="H84" s="532"/>
      <c r="I84" s="532"/>
      <c r="J84" s="532"/>
      <c r="K84" s="532"/>
      <c r="L84" s="533"/>
      <c r="M84" s="410" t="s">
        <v>4</v>
      </c>
      <c r="N84" s="47"/>
    </row>
    <row r="85" spans="2:14" ht="26.1" customHeight="1">
      <c r="B85" s="637"/>
      <c r="C85" s="634"/>
      <c r="D85" s="633"/>
      <c r="E85" s="634"/>
      <c r="F85" s="541" t="s">
        <v>476</v>
      </c>
      <c r="G85" s="542"/>
      <c r="H85" s="542"/>
      <c r="I85" s="542"/>
      <c r="J85" s="542"/>
      <c r="K85" s="542"/>
      <c r="L85" s="543"/>
      <c r="M85" s="415" t="s">
        <v>477</v>
      </c>
      <c r="N85" s="406" t="s">
        <v>485</v>
      </c>
    </row>
    <row r="86" spans="2:14" ht="26.1" customHeight="1">
      <c r="B86" s="637"/>
      <c r="C86" s="634"/>
      <c r="D86" s="633"/>
      <c r="E86" s="634"/>
      <c r="F86" s="531" t="s">
        <v>18</v>
      </c>
      <c r="G86" s="532"/>
      <c r="H86" s="532"/>
      <c r="I86" s="532"/>
      <c r="J86" s="532"/>
      <c r="K86" s="532"/>
      <c r="L86" s="533"/>
      <c r="M86" s="416" t="s">
        <v>448</v>
      </c>
      <c r="N86" s="49"/>
    </row>
    <row r="87" spans="2:14" ht="14.1" customHeight="1">
      <c r="B87" s="637"/>
      <c r="C87" s="634"/>
      <c r="D87" s="633"/>
      <c r="E87" s="634"/>
      <c r="F87" s="531" t="s">
        <v>19</v>
      </c>
      <c r="G87" s="532"/>
      <c r="H87" s="532"/>
      <c r="I87" s="532"/>
      <c r="J87" s="532"/>
      <c r="K87" s="532"/>
      <c r="L87" s="533"/>
      <c r="M87" s="416" t="s">
        <v>5</v>
      </c>
      <c r="N87" s="49"/>
    </row>
    <row r="88" spans="2:14" ht="27" customHeight="1">
      <c r="B88" s="637"/>
      <c r="C88" s="634"/>
      <c r="D88" s="633"/>
      <c r="E88" s="634"/>
      <c r="F88" s="629" t="s">
        <v>301</v>
      </c>
      <c r="G88" s="630"/>
      <c r="H88" s="630"/>
      <c r="I88" s="630"/>
      <c r="J88" s="630"/>
      <c r="K88" s="630"/>
      <c r="L88" s="631"/>
      <c r="M88" s="416" t="s">
        <v>300</v>
      </c>
      <c r="N88" s="49"/>
    </row>
    <row r="89" spans="2:14" ht="14.1" customHeight="1">
      <c r="B89" s="637"/>
      <c r="C89" s="634"/>
      <c r="D89" s="633"/>
      <c r="E89" s="634"/>
      <c r="F89" s="531" t="s">
        <v>20</v>
      </c>
      <c r="G89" s="532"/>
      <c r="H89" s="532"/>
      <c r="I89" s="532"/>
      <c r="J89" s="532"/>
      <c r="K89" s="532"/>
      <c r="L89" s="533"/>
      <c r="M89" s="416" t="s">
        <v>6</v>
      </c>
      <c r="N89" s="49"/>
    </row>
    <row r="90" spans="2:14" ht="26.25" customHeight="1">
      <c r="B90" s="637"/>
      <c r="C90" s="634"/>
      <c r="D90" s="633"/>
      <c r="E90" s="634"/>
      <c r="F90" s="531" t="s">
        <v>447</v>
      </c>
      <c r="G90" s="532"/>
      <c r="H90" s="532"/>
      <c r="I90" s="532"/>
      <c r="J90" s="532"/>
      <c r="K90" s="532"/>
      <c r="L90" s="533"/>
      <c r="M90" s="416" t="s">
        <v>450</v>
      </c>
      <c r="N90" s="49"/>
    </row>
    <row r="91" spans="2:14" ht="26.1" customHeight="1">
      <c r="B91" s="637"/>
      <c r="C91" s="634"/>
      <c r="D91" s="633"/>
      <c r="E91" s="634"/>
      <c r="F91" s="531" t="s">
        <v>21</v>
      </c>
      <c r="G91" s="532"/>
      <c r="H91" s="532"/>
      <c r="I91" s="532"/>
      <c r="J91" s="532"/>
      <c r="K91" s="532"/>
      <c r="L91" s="533"/>
      <c r="M91" s="410">
        <v>15</v>
      </c>
      <c r="N91" s="47"/>
    </row>
    <row r="92" spans="2:14">
      <c r="B92" s="637"/>
      <c r="C92" s="634"/>
      <c r="D92" s="633"/>
      <c r="E92" s="634"/>
      <c r="F92" s="541" t="s">
        <v>482</v>
      </c>
      <c r="G92" s="542"/>
      <c r="H92" s="542"/>
      <c r="I92" s="542"/>
      <c r="J92" s="542"/>
      <c r="K92" s="542"/>
      <c r="L92" s="543"/>
      <c r="M92" s="415">
        <v>17</v>
      </c>
      <c r="N92" s="406" t="s">
        <v>485</v>
      </c>
    </row>
    <row r="93" spans="2:14" ht="26.1" customHeight="1">
      <c r="B93" s="637"/>
      <c r="C93" s="634"/>
      <c r="D93" s="633"/>
      <c r="E93" s="634"/>
      <c r="F93" s="531" t="s">
        <v>22</v>
      </c>
      <c r="G93" s="532"/>
      <c r="H93" s="532"/>
      <c r="I93" s="532"/>
      <c r="J93" s="532"/>
      <c r="K93" s="532"/>
      <c r="L93" s="533"/>
      <c r="M93" s="410">
        <v>21</v>
      </c>
      <c r="N93" s="47"/>
    </row>
    <row r="94" spans="2:14" ht="26.1" customHeight="1">
      <c r="B94" s="637"/>
      <c r="C94" s="634"/>
      <c r="D94" s="633"/>
      <c r="E94" s="634"/>
      <c r="F94" s="531" t="s">
        <v>23</v>
      </c>
      <c r="G94" s="532"/>
      <c r="H94" s="532"/>
      <c r="I94" s="532"/>
      <c r="J94" s="532"/>
      <c r="K94" s="532"/>
      <c r="L94" s="533"/>
      <c r="M94" s="410">
        <v>24</v>
      </c>
      <c r="N94" s="47"/>
    </row>
    <row r="95" spans="2:14" ht="26.1" customHeight="1">
      <c r="B95" s="637"/>
      <c r="C95" s="634"/>
      <c r="D95" s="633"/>
      <c r="E95" s="634"/>
      <c r="F95" s="531" t="s">
        <v>24</v>
      </c>
      <c r="G95" s="532"/>
      <c r="H95" s="532"/>
      <c r="I95" s="532"/>
      <c r="J95" s="532"/>
      <c r="K95" s="532"/>
      <c r="L95" s="533"/>
      <c r="M95" s="410">
        <v>29</v>
      </c>
      <c r="N95" s="47"/>
    </row>
    <row r="96" spans="2:14" ht="26.1" customHeight="1">
      <c r="B96" s="638"/>
      <c r="C96" s="635"/>
      <c r="D96" s="536"/>
      <c r="E96" s="635"/>
      <c r="F96" s="538" t="s">
        <v>478</v>
      </c>
      <c r="G96" s="539"/>
      <c r="H96" s="539"/>
      <c r="I96" s="539"/>
      <c r="J96" s="539"/>
      <c r="K96" s="539"/>
      <c r="L96" s="540"/>
      <c r="M96" s="417">
        <v>31</v>
      </c>
      <c r="N96" s="407" t="s">
        <v>485</v>
      </c>
    </row>
    <row r="97" spans="2:14" ht="106.5" customHeight="1">
      <c r="B97" s="636">
        <v>4</v>
      </c>
      <c r="C97" s="658"/>
      <c r="D97" s="659" t="s">
        <v>159</v>
      </c>
      <c r="E97" s="658"/>
      <c r="F97" s="616" t="s">
        <v>355</v>
      </c>
      <c r="G97" s="617"/>
      <c r="H97" s="617"/>
      <c r="I97" s="617"/>
      <c r="J97" s="617"/>
      <c r="K97" s="617"/>
      <c r="L97" s="618"/>
      <c r="M97" s="418" t="s">
        <v>7</v>
      </c>
      <c r="N97" s="50"/>
    </row>
    <row r="98" spans="2:14" ht="84.75" customHeight="1">
      <c r="B98" s="654"/>
      <c r="C98" s="655"/>
      <c r="D98" s="660"/>
      <c r="E98" s="655"/>
      <c r="F98" s="531" t="s">
        <v>356</v>
      </c>
      <c r="G98" s="532"/>
      <c r="H98" s="532"/>
      <c r="I98" s="532"/>
      <c r="J98" s="532"/>
      <c r="K98" s="532"/>
      <c r="L98" s="533"/>
      <c r="M98" s="416" t="s">
        <v>8</v>
      </c>
      <c r="N98" s="49"/>
    </row>
    <row r="99" spans="2:14">
      <c r="B99" s="654"/>
      <c r="C99" s="655"/>
      <c r="D99" s="660"/>
      <c r="E99" s="655"/>
      <c r="F99" s="541" t="s">
        <v>481</v>
      </c>
      <c r="G99" s="542"/>
      <c r="H99" s="542"/>
      <c r="I99" s="542"/>
      <c r="J99" s="542"/>
      <c r="K99" s="542"/>
      <c r="L99" s="543"/>
      <c r="M99" s="419" t="s">
        <v>479</v>
      </c>
      <c r="N99" s="408" t="s">
        <v>485</v>
      </c>
    </row>
    <row r="100" spans="2:14" ht="33.75" customHeight="1">
      <c r="B100" s="654"/>
      <c r="C100" s="655"/>
      <c r="D100" s="660"/>
      <c r="E100" s="655"/>
      <c r="F100" s="531" t="s">
        <v>480</v>
      </c>
      <c r="G100" s="532"/>
      <c r="H100" s="532"/>
      <c r="I100" s="532"/>
      <c r="J100" s="532"/>
      <c r="K100" s="532"/>
      <c r="L100" s="533"/>
      <c r="M100" s="414" t="s">
        <v>449</v>
      </c>
      <c r="N100" s="48"/>
    </row>
    <row r="101" spans="2:14" ht="63" customHeight="1">
      <c r="B101" s="654"/>
      <c r="C101" s="655"/>
      <c r="D101" s="660"/>
      <c r="E101" s="655"/>
      <c r="F101" s="531" t="s">
        <v>357</v>
      </c>
      <c r="G101" s="532"/>
      <c r="H101" s="532"/>
      <c r="I101" s="532"/>
      <c r="J101" s="532"/>
      <c r="K101" s="532"/>
      <c r="L101" s="533"/>
      <c r="M101" s="414" t="s">
        <v>9</v>
      </c>
      <c r="N101" s="48"/>
    </row>
    <row r="102" spans="2:14" ht="14.1" customHeight="1">
      <c r="B102" s="654"/>
      <c r="C102" s="655"/>
      <c r="D102" s="660"/>
      <c r="E102" s="655"/>
      <c r="F102" s="531" t="s">
        <v>25</v>
      </c>
      <c r="G102" s="532"/>
      <c r="H102" s="532"/>
      <c r="I102" s="532"/>
      <c r="J102" s="532"/>
      <c r="K102" s="532"/>
      <c r="L102" s="533"/>
      <c r="M102" s="410" t="s">
        <v>10</v>
      </c>
      <c r="N102" s="47"/>
    </row>
    <row r="103" spans="2:14" ht="26.1" customHeight="1" thickBot="1">
      <c r="B103" s="620"/>
      <c r="C103" s="621"/>
      <c r="D103" s="661"/>
      <c r="E103" s="621"/>
      <c r="F103" s="626" t="s">
        <v>26</v>
      </c>
      <c r="G103" s="627"/>
      <c r="H103" s="627"/>
      <c r="I103" s="627"/>
      <c r="J103" s="627"/>
      <c r="K103" s="627"/>
      <c r="L103" s="628"/>
      <c r="M103" s="420" t="s">
        <v>11</v>
      </c>
      <c r="N103" s="51"/>
    </row>
    <row r="104" spans="2:14" ht="14.1" customHeight="1">
      <c r="B104" s="52" t="s">
        <v>162</v>
      </c>
      <c r="C104" s="53"/>
      <c r="D104" s="53"/>
      <c r="E104" s="54"/>
      <c r="F104" s="54"/>
      <c r="G104" s="55"/>
      <c r="H104" s="54"/>
      <c r="I104" s="54"/>
      <c r="J104" s="54"/>
      <c r="K104" s="54"/>
      <c r="L104" s="54"/>
      <c r="M104" s="56"/>
    </row>
    <row r="105" spans="2:14" ht="14.1" customHeight="1">
      <c r="B105" s="52" t="s">
        <v>290</v>
      </c>
      <c r="C105" s="53"/>
      <c r="D105" s="53"/>
      <c r="E105" s="54"/>
      <c r="F105" s="54"/>
      <c r="G105" s="55"/>
      <c r="H105" s="54"/>
      <c r="I105" s="54"/>
      <c r="J105" s="54"/>
      <c r="K105" s="54"/>
      <c r="L105" s="54"/>
      <c r="M105" s="56"/>
    </row>
    <row r="106" spans="2:14" ht="14.1" customHeight="1">
      <c r="B106" s="386" t="s">
        <v>441</v>
      </c>
      <c r="C106" s="387"/>
      <c r="D106" s="387"/>
      <c r="E106" s="388"/>
      <c r="F106" s="388"/>
      <c r="G106" s="389"/>
      <c r="H106" s="388"/>
      <c r="I106" s="388"/>
      <c r="J106" s="388"/>
      <c r="K106" s="388"/>
      <c r="L106" s="388"/>
      <c r="M106" s="390"/>
    </row>
    <row r="107" spans="2:14" ht="10.5" customHeight="1">
      <c r="B107" s="335"/>
      <c r="C107" s="53"/>
      <c r="D107" s="53"/>
      <c r="E107" s="332"/>
      <c r="F107" s="332"/>
      <c r="G107" s="55"/>
      <c r="H107" s="332"/>
      <c r="I107" s="332"/>
      <c r="J107" s="332"/>
      <c r="K107" s="332"/>
      <c r="L107" s="332"/>
      <c r="M107" s="56"/>
    </row>
    <row r="108" spans="2:14" ht="15.75" customHeight="1" thickBot="1">
      <c r="B108" s="44" t="s">
        <v>408</v>
      </c>
      <c r="C108" s="53"/>
      <c r="D108" s="53"/>
      <c r="E108" s="332"/>
      <c r="F108" s="332"/>
      <c r="G108" s="55"/>
      <c r="H108" s="332"/>
      <c r="I108" s="332"/>
      <c r="J108" s="332"/>
      <c r="K108" s="332"/>
      <c r="L108" s="332"/>
      <c r="M108" s="56"/>
    </row>
    <row r="109" spans="2:14" ht="14.1" customHeight="1" thickBot="1">
      <c r="B109" s="573" t="s">
        <v>156</v>
      </c>
      <c r="C109" s="574"/>
      <c r="D109" s="575" t="s">
        <v>151</v>
      </c>
      <c r="E109" s="574"/>
      <c r="F109" s="518" t="s">
        <v>12</v>
      </c>
      <c r="G109" s="519"/>
      <c r="H109" s="519"/>
      <c r="I109" s="519"/>
      <c r="J109" s="519"/>
      <c r="K109" s="519"/>
      <c r="L109" s="520"/>
      <c r="M109"/>
      <c r="N109"/>
    </row>
    <row r="110" spans="2:14" ht="14.1" customHeight="1" thickTop="1">
      <c r="B110" s="505">
        <v>20</v>
      </c>
      <c r="C110" s="619"/>
      <c r="D110" s="622" t="s">
        <v>406</v>
      </c>
      <c r="E110" s="623"/>
      <c r="F110" s="509" t="s">
        <v>409</v>
      </c>
      <c r="G110" s="511"/>
      <c r="H110" s="511"/>
      <c r="I110" s="511"/>
      <c r="J110" s="511"/>
      <c r="K110" s="511"/>
      <c r="L110" s="512"/>
      <c r="M110"/>
      <c r="N110"/>
    </row>
    <row r="111" spans="2:14" ht="14.1" customHeight="1" thickBot="1">
      <c r="B111" s="620"/>
      <c r="C111" s="621"/>
      <c r="D111" s="624"/>
      <c r="E111" s="625"/>
      <c r="F111" s="513"/>
      <c r="G111" s="514"/>
      <c r="H111" s="514"/>
      <c r="I111" s="514"/>
      <c r="J111" s="514"/>
      <c r="K111" s="514"/>
      <c r="L111" s="515"/>
      <c r="M111"/>
      <c r="N111"/>
    </row>
    <row r="112" spans="2:14" ht="9.75" customHeight="1">
      <c r="B112" s="342"/>
      <c r="C112" s="342"/>
      <c r="D112" s="343"/>
      <c r="E112" s="343"/>
      <c r="F112" s="344"/>
      <c r="G112" s="344"/>
      <c r="H112" s="344"/>
      <c r="I112" s="344"/>
      <c r="J112" s="344"/>
      <c r="K112" s="344"/>
      <c r="L112" s="344"/>
      <c r="M112"/>
      <c r="N112"/>
    </row>
    <row r="113" spans="2:14" ht="14.1" customHeight="1">
      <c r="B113" s="58"/>
      <c r="C113" s="53"/>
      <c r="D113" s="53"/>
      <c r="E113" s="54"/>
      <c r="F113" s="54"/>
      <c r="G113" s="55"/>
      <c r="H113" s="54"/>
      <c r="I113" s="54"/>
      <c r="J113" s="54"/>
      <c r="K113" s="54"/>
      <c r="L113" s="54"/>
      <c r="N113" s="5" t="str">
        <f>N1</f>
        <v>Rev.11_07</v>
      </c>
    </row>
    <row r="114" spans="2:14" ht="15" customHeight="1">
      <c r="B114" s="44" t="s">
        <v>299</v>
      </c>
      <c r="C114" s="13"/>
      <c r="D114" s="58"/>
      <c r="E114" s="54"/>
      <c r="F114" s="54"/>
      <c r="G114" s="54"/>
      <c r="H114" s="54"/>
      <c r="I114" s="59"/>
      <c r="J114" s="54"/>
      <c r="K114" s="54"/>
      <c r="L114" s="54"/>
      <c r="M114" s="56"/>
    </row>
    <row r="115" spans="2:14" ht="2.25" customHeight="1" thickBot="1">
      <c r="B115" s="44"/>
      <c r="C115" s="13"/>
      <c r="D115" s="58"/>
      <c r="E115" s="54"/>
      <c r="F115" s="54"/>
      <c r="G115" s="54"/>
      <c r="H115" s="54"/>
      <c r="I115" s="59"/>
      <c r="J115" s="54"/>
      <c r="K115" s="54"/>
      <c r="L115" s="54"/>
      <c r="M115" s="56"/>
    </row>
    <row r="116" spans="2:14" ht="28.5" customHeight="1" thickBot="1">
      <c r="B116" s="614" t="s">
        <v>156</v>
      </c>
      <c r="C116" s="615"/>
      <c r="D116" s="662" t="s">
        <v>151</v>
      </c>
      <c r="E116" s="663"/>
      <c r="F116" s="664"/>
      <c r="G116" s="662" t="s">
        <v>28</v>
      </c>
      <c r="H116" s="672"/>
      <c r="I116" s="672"/>
      <c r="J116" s="672"/>
      <c r="K116" s="672"/>
      <c r="L116" s="673"/>
      <c r="M116" s="518" t="s">
        <v>283</v>
      </c>
      <c r="N116" s="520"/>
    </row>
    <row r="117" spans="2:14" ht="14.1" customHeight="1" thickTop="1">
      <c r="B117" s="676">
        <v>1</v>
      </c>
      <c r="C117" s="677"/>
      <c r="D117" s="665" t="s">
        <v>157</v>
      </c>
      <c r="E117" s="666"/>
      <c r="F117" s="667"/>
      <c r="G117" s="567" t="s">
        <v>224</v>
      </c>
      <c r="H117" s="674"/>
      <c r="I117" s="674"/>
      <c r="J117" s="674"/>
      <c r="K117" s="674"/>
      <c r="L117" s="675"/>
      <c r="M117" s="682" t="s">
        <v>165</v>
      </c>
      <c r="N117" s="683"/>
    </row>
    <row r="118" spans="2:14" ht="27" customHeight="1">
      <c r="B118" s="678"/>
      <c r="C118" s="679"/>
      <c r="D118" s="447"/>
      <c r="E118" s="448"/>
      <c r="F118" s="668"/>
      <c r="G118" s="592" t="s">
        <v>332</v>
      </c>
      <c r="H118" s="687"/>
      <c r="I118" s="687"/>
      <c r="J118" s="687"/>
      <c r="K118" s="687"/>
      <c r="L118" s="688"/>
      <c r="M118" s="534" t="s">
        <v>154</v>
      </c>
      <c r="N118" s="535"/>
    </row>
    <row r="119" spans="2:14" ht="12.75" customHeight="1">
      <c r="B119" s="680"/>
      <c r="C119" s="681"/>
      <c r="D119" s="669"/>
      <c r="E119" s="670"/>
      <c r="F119" s="671"/>
      <c r="G119" s="60"/>
      <c r="H119" s="61" t="s">
        <v>161</v>
      </c>
      <c r="I119" s="62"/>
      <c r="J119" s="62"/>
      <c r="K119" s="62"/>
      <c r="L119" s="63"/>
      <c r="M119" s="536"/>
      <c r="N119" s="537"/>
    </row>
    <row r="120" spans="2:14" ht="27" customHeight="1">
      <c r="B120" s="580">
        <v>2</v>
      </c>
      <c r="C120" s="581"/>
      <c r="D120" s="480" t="s">
        <v>291</v>
      </c>
      <c r="E120" s="481"/>
      <c r="F120" s="587"/>
      <c r="G120" s="480" t="s">
        <v>226</v>
      </c>
      <c r="H120" s="585"/>
      <c r="I120" s="585"/>
      <c r="J120" s="585"/>
      <c r="K120" s="585"/>
      <c r="L120" s="586"/>
      <c r="M120" s="529" t="s">
        <v>163</v>
      </c>
      <c r="N120" s="530"/>
    </row>
    <row r="121" spans="2:14" ht="27" customHeight="1">
      <c r="B121" s="580">
        <v>3</v>
      </c>
      <c r="C121" s="581"/>
      <c r="D121" s="480" t="s">
        <v>158</v>
      </c>
      <c r="E121" s="481"/>
      <c r="F121" s="587"/>
      <c r="G121" s="480" t="s">
        <v>226</v>
      </c>
      <c r="H121" s="585"/>
      <c r="I121" s="585"/>
      <c r="J121" s="585"/>
      <c r="K121" s="585"/>
      <c r="L121" s="586"/>
      <c r="M121" s="529" t="s">
        <v>163</v>
      </c>
      <c r="N121" s="530"/>
    </row>
    <row r="122" spans="2:14" ht="27.75" customHeight="1">
      <c r="B122" s="580">
        <v>4</v>
      </c>
      <c r="C122" s="581"/>
      <c r="D122" s="480" t="s">
        <v>159</v>
      </c>
      <c r="E122" s="481"/>
      <c r="F122" s="587"/>
      <c r="G122" s="480" t="s">
        <v>305</v>
      </c>
      <c r="H122" s="585"/>
      <c r="I122" s="585"/>
      <c r="J122" s="585"/>
      <c r="K122" s="585"/>
      <c r="L122" s="586"/>
      <c r="M122" s="529" t="s">
        <v>306</v>
      </c>
      <c r="N122" s="530"/>
    </row>
    <row r="123" spans="2:14" ht="14.1" customHeight="1">
      <c r="B123" s="597">
        <v>5</v>
      </c>
      <c r="C123" s="598"/>
      <c r="D123" s="583" t="s">
        <v>149</v>
      </c>
      <c r="E123" s="583"/>
      <c r="F123" s="584"/>
      <c r="G123" s="480" t="s">
        <v>226</v>
      </c>
      <c r="H123" s="585"/>
      <c r="I123" s="585"/>
      <c r="J123" s="585"/>
      <c r="K123" s="585"/>
      <c r="L123" s="586"/>
      <c r="M123" s="529" t="s">
        <v>163</v>
      </c>
      <c r="N123" s="530"/>
    </row>
    <row r="124" spans="2:14" ht="14.1" customHeight="1">
      <c r="B124" s="597">
        <v>6</v>
      </c>
      <c r="C124" s="598"/>
      <c r="D124" s="583" t="s">
        <v>150</v>
      </c>
      <c r="E124" s="583"/>
      <c r="F124" s="584"/>
      <c r="G124" s="480" t="s">
        <v>305</v>
      </c>
      <c r="H124" s="585"/>
      <c r="I124" s="585"/>
      <c r="J124" s="585"/>
      <c r="K124" s="585"/>
      <c r="L124" s="586"/>
      <c r="M124" s="529" t="s">
        <v>284</v>
      </c>
      <c r="N124" s="530"/>
    </row>
    <row r="125" spans="2:14" ht="31.5" customHeight="1">
      <c r="B125" s="580">
        <v>7</v>
      </c>
      <c r="C125" s="581"/>
      <c r="D125" s="480" t="s">
        <v>309</v>
      </c>
      <c r="E125" s="481"/>
      <c r="F125" s="587"/>
      <c r="G125" s="480" t="s">
        <v>304</v>
      </c>
      <c r="H125" s="481"/>
      <c r="I125" s="481"/>
      <c r="J125" s="481"/>
      <c r="K125" s="481"/>
      <c r="L125" s="587"/>
      <c r="M125" s="529" t="s">
        <v>163</v>
      </c>
      <c r="N125" s="530"/>
    </row>
    <row r="126" spans="2:14" ht="31.5" customHeight="1">
      <c r="B126" s="580">
        <v>8</v>
      </c>
      <c r="C126" s="581"/>
      <c r="D126" s="582" t="s">
        <v>297</v>
      </c>
      <c r="E126" s="583"/>
      <c r="F126" s="584"/>
      <c r="G126" s="480" t="s">
        <v>305</v>
      </c>
      <c r="H126" s="585"/>
      <c r="I126" s="585"/>
      <c r="J126" s="585"/>
      <c r="K126" s="585"/>
      <c r="L126" s="586"/>
      <c r="M126" s="529" t="s">
        <v>163</v>
      </c>
      <c r="N126" s="530"/>
    </row>
    <row r="127" spans="2:14" ht="31.5" customHeight="1">
      <c r="B127" s="580">
        <v>9</v>
      </c>
      <c r="C127" s="581"/>
      <c r="D127" s="480" t="s">
        <v>310</v>
      </c>
      <c r="E127" s="583"/>
      <c r="F127" s="584"/>
      <c r="G127" s="480" t="s">
        <v>305</v>
      </c>
      <c r="H127" s="585"/>
      <c r="I127" s="585"/>
      <c r="J127" s="585"/>
      <c r="K127" s="585"/>
      <c r="L127" s="586"/>
      <c r="M127" s="529" t="s">
        <v>163</v>
      </c>
      <c r="N127" s="530"/>
    </row>
    <row r="128" spans="2:14" ht="31.5" customHeight="1">
      <c r="B128" s="580">
        <v>10</v>
      </c>
      <c r="C128" s="581"/>
      <c r="D128" s="480" t="s">
        <v>311</v>
      </c>
      <c r="E128" s="583"/>
      <c r="F128" s="584"/>
      <c r="G128" s="480" t="s">
        <v>305</v>
      </c>
      <c r="H128" s="585"/>
      <c r="I128" s="585"/>
      <c r="J128" s="585"/>
      <c r="K128" s="585"/>
      <c r="L128" s="586"/>
      <c r="M128" s="529" t="s">
        <v>163</v>
      </c>
      <c r="N128" s="530"/>
    </row>
    <row r="129" spans="2:15" ht="40.5" customHeight="1">
      <c r="B129" s="597">
        <v>20</v>
      </c>
      <c r="C129" s="598"/>
      <c r="D129" s="480" t="s">
        <v>296</v>
      </c>
      <c r="E129" s="481"/>
      <c r="F129" s="587"/>
      <c r="G129" s="480" t="s">
        <v>308</v>
      </c>
      <c r="H129" s="481"/>
      <c r="I129" s="481"/>
      <c r="J129" s="481"/>
      <c r="K129" s="481"/>
      <c r="L129" s="587"/>
      <c r="M129" s="529" t="s">
        <v>307</v>
      </c>
      <c r="N129" s="530"/>
    </row>
    <row r="130" spans="2:15" ht="31.5" customHeight="1">
      <c r="B130" s="597">
        <v>21</v>
      </c>
      <c r="C130" s="598"/>
      <c r="D130" s="480" t="s">
        <v>334</v>
      </c>
      <c r="E130" s="481"/>
      <c r="F130" s="587"/>
      <c r="G130" s="480" t="s">
        <v>438</v>
      </c>
      <c r="H130" s="481"/>
      <c r="I130" s="481"/>
      <c r="J130" s="481"/>
      <c r="K130" s="481"/>
      <c r="L130" s="587"/>
      <c r="M130" s="578" t="s">
        <v>429</v>
      </c>
      <c r="N130" s="579"/>
    </row>
    <row r="131" spans="2:15" ht="14.1" customHeight="1">
      <c r="B131" s="605">
        <v>22</v>
      </c>
      <c r="C131" s="606"/>
      <c r="D131" s="599" t="s">
        <v>155</v>
      </c>
      <c r="E131" s="599"/>
      <c r="F131" s="600"/>
      <c r="G131" s="594" t="s">
        <v>285</v>
      </c>
      <c r="H131" s="595"/>
      <c r="I131" s="595"/>
      <c r="J131" s="595"/>
      <c r="K131" s="595"/>
      <c r="L131" s="596"/>
      <c r="M131" s="529" t="s">
        <v>164</v>
      </c>
      <c r="N131" s="530"/>
    </row>
    <row r="132" spans="2:15" ht="15" customHeight="1">
      <c r="B132" s="601">
        <v>25</v>
      </c>
      <c r="C132" s="602"/>
      <c r="D132" s="452" t="s">
        <v>60</v>
      </c>
      <c r="E132" s="453"/>
      <c r="F132" s="588"/>
      <c r="G132" s="592" t="s">
        <v>160</v>
      </c>
      <c r="H132" s="593"/>
      <c r="I132" s="593"/>
      <c r="J132" s="593"/>
      <c r="K132" s="593"/>
      <c r="L132" s="593"/>
      <c r="M132" s="534" t="s">
        <v>165</v>
      </c>
      <c r="N132" s="535"/>
    </row>
    <row r="133" spans="2:15" ht="25.5" customHeight="1" thickBot="1">
      <c r="B133" s="603"/>
      <c r="C133" s="604"/>
      <c r="D133" s="589"/>
      <c r="E133" s="590"/>
      <c r="F133" s="591"/>
      <c r="G133" s="64"/>
      <c r="H133" s="590" t="s">
        <v>264</v>
      </c>
      <c r="I133" s="590"/>
      <c r="J133" s="590"/>
      <c r="K133" s="590"/>
      <c r="L133" s="591"/>
      <c r="M133" s="513"/>
      <c r="N133" s="515"/>
    </row>
    <row r="134" spans="2:15" ht="12.75" customHeight="1">
      <c r="B134" s="52" t="s">
        <v>162</v>
      </c>
      <c r="C134" s="65"/>
      <c r="D134" s="66"/>
      <c r="E134" s="66"/>
      <c r="F134" s="66"/>
      <c r="G134" s="67"/>
      <c r="H134" s="54"/>
      <c r="I134" s="54"/>
      <c r="J134" s="54"/>
      <c r="K134" s="54"/>
      <c r="L134" s="54"/>
      <c r="M134" s="68"/>
    </row>
    <row r="135" spans="2:15" ht="12.75" customHeight="1">
      <c r="B135" s="13" t="s">
        <v>265</v>
      </c>
      <c r="C135" s="69"/>
      <c r="D135" s="69"/>
      <c r="E135" s="69"/>
      <c r="F135" s="69"/>
      <c r="G135" s="54"/>
      <c r="H135" s="67"/>
      <c r="I135" s="67"/>
      <c r="J135" s="67"/>
      <c r="K135" s="67"/>
      <c r="L135" s="67"/>
      <c r="M135" s="70"/>
    </row>
    <row r="136" spans="2:15" ht="12.75" customHeight="1">
      <c r="B136" s="13" t="s">
        <v>275</v>
      </c>
      <c r="C136" s="69"/>
      <c r="D136" s="69"/>
      <c r="E136" s="69"/>
      <c r="F136" s="69"/>
      <c r="G136" s="54"/>
      <c r="H136" s="67"/>
      <c r="I136" s="67"/>
      <c r="J136" s="67"/>
      <c r="K136" s="67"/>
      <c r="L136" s="67"/>
      <c r="M136" s="70"/>
    </row>
    <row r="137" spans="2:15" ht="10.5" customHeight="1">
      <c r="B137" s="13" t="s">
        <v>276</v>
      </c>
      <c r="C137" s="69"/>
      <c r="D137" s="69"/>
      <c r="E137" s="69"/>
      <c r="F137" s="69"/>
      <c r="G137" s="54"/>
      <c r="H137" s="67"/>
      <c r="I137" s="67"/>
      <c r="J137" s="67"/>
      <c r="K137" s="67"/>
      <c r="L137" s="67"/>
      <c r="M137" s="70"/>
    </row>
    <row r="138" spans="2:15" ht="12.75" customHeight="1">
      <c r="B138" s="52" t="s">
        <v>277</v>
      </c>
      <c r="C138" s="69"/>
      <c r="D138" s="69"/>
      <c r="E138" s="69"/>
      <c r="F138" s="69"/>
      <c r="G138" s="54"/>
      <c r="H138" s="67"/>
      <c r="I138" s="67"/>
      <c r="J138" s="67"/>
      <c r="K138" s="67"/>
      <c r="L138" s="67"/>
      <c r="M138" s="70"/>
    </row>
    <row r="139" spans="2:15" ht="12.75" customHeight="1">
      <c r="B139" s="52" t="s">
        <v>278</v>
      </c>
      <c r="C139" s="69"/>
      <c r="D139" s="69"/>
      <c r="E139" s="69"/>
      <c r="F139" s="69"/>
      <c r="G139" s="54"/>
      <c r="H139" s="67"/>
      <c r="I139" s="67"/>
      <c r="J139" s="67"/>
      <c r="K139" s="67"/>
      <c r="L139" s="67"/>
      <c r="M139" s="70"/>
    </row>
    <row r="140" spans="2:15" ht="12.75" customHeight="1">
      <c r="B140" s="689" t="s">
        <v>286</v>
      </c>
      <c r="C140" s="689"/>
      <c r="D140" s="689"/>
      <c r="E140" s="689"/>
      <c r="F140" s="689"/>
      <c r="G140" s="689"/>
      <c r="H140" s="689"/>
      <c r="I140" s="689"/>
      <c r="J140" s="689"/>
      <c r="K140" s="689"/>
      <c r="L140" s="689"/>
      <c r="M140" s="689"/>
    </row>
    <row r="141" spans="2:15" ht="12.75" customHeight="1">
      <c r="B141" s="52" t="s">
        <v>358</v>
      </c>
      <c r="C141" s="69"/>
      <c r="D141" s="69"/>
      <c r="E141" s="69"/>
      <c r="F141" s="69"/>
      <c r="G141" s="54"/>
      <c r="H141" s="67"/>
      <c r="I141" s="67"/>
      <c r="J141" s="67"/>
      <c r="K141" s="67"/>
      <c r="L141" s="67"/>
      <c r="M141" s="70"/>
    </row>
    <row r="142" spans="2:15" ht="12.75" customHeight="1">
      <c r="B142" s="386" t="s">
        <v>430</v>
      </c>
      <c r="C142" s="391"/>
      <c r="D142" s="391"/>
      <c r="E142" s="391"/>
      <c r="F142" s="391"/>
      <c r="G142" s="388"/>
      <c r="H142" s="392"/>
      <c r="I142" s="392"/>
      <c r="J142" s="392"/>
      <c r="K142" s="392"/>
      <c r="L142" s="392"/>
      <c r="M142" s="393"/>
      <c r="N142" s="394"/>
      <c r="O142" s="394"/>
    </row>
    <row r="143" spans="2:15" ht="12.75" customHeight="1">
      <c r="B143" s="386" t="s">
        <v>431</v>
      </c>
      <c r="C143" s="391"/>
      <c r="D143" s="391"/>
      <c r="E143" s="391"/>
      <c r="F143" s="391"/>
      <c r="G143" s="388"/>
      <c r="H143" s="392"/>
      <c r="I143" s="392"/>
      <c r="J143" s="392"/>
      <c r="K143" s="392"/>
      <c r="L143" s="392"/>
      <c r="M143" s="393"/>
      <c r="N143" s="394"/>
      <c r="O143" s="394"/>
    </row>
    <row r="144" spans="2:15" ht="12.75" customHeight="1">
      <c r="B144" s="386" t="s">
        <v>421</v>
      </c>
      <c r="C144" s="391"/>
      <c r="D144" s="391"/>
      <c r="E144" s="391"/>
      <c r="F144" s="391"/>
      <c r="G144" s="388"/>
      <c r="H144" s="392"/>
      <c r="I144" s="392"/>
      <c r="J144" s="392"/>
      <c r="K144" s="392"/>
      <c r="L144" s="392"/>
      <c r="M144" s="393"/>
      <c r="N144" s="394"/>
      <c r="O144" s="394"/>
    </row>
    <row r="145" spans="1:15" ht="12.75" customHeight="1">
      <c r="B145" s="386" t="s">
        <v>423</v>
      </c>
      <c r="C145" s="391"/>
      <c r="D145" s="391"/>
      <c r="E145" s="391"/>
      <c r="F145" s="391"/>
      <c r="G145" s="388"/>
      <c r="H145" s="392"/>
      <c r="I145" s="392"/>
      <c r="J145" s="392"/>
      <c r="K145" s="392"/>
      <c r="L145" s="392"/>
      <c r="M145" s="393"/>
      <c r="N145" s="394"/>
      <c r="O145" s="394"/>
    </row>
    <row r="146" spans="1:15" ht="12.75" customHeight="1">
      <c r="B146" s="386" t="s">
        <v>424</v>
      </c>
      <c r="C146" s="391"/>
      <c r="D146" s="391"/>
      <c r="E146" s="391"/>
      <c r="F146" s="391"/>
      <c r="G146" s="388"/>
      <c r="H146" s="392"/>
      <c r="I146" s="392"/>
      <c r="J146" s="392"/>
      <c r="K146" s="392"/>
      <c r="L146" s="392"/>
      <c r="M146" s="393"/>
      <c r="N146" s="394"/>
      <c r="O146" s="394"/>
    </row>
    <row r="147" spans="1:15" ht="12.75" customHeight="1">
      <c r="B147" s="386" t="s">
        <v>425</v>
      </c>
      <c r="C147" s="391"/>
      <c r="D147" s="391"/>
      <c r="E147" s="391"/>
      <c r="F147" s="391"/>
      <c r="G147" s="388"/>
      <c r="H147" s="392"/>
      <c r="I147" s="392"/>
      <c r="J147" s="392"/>
      <c r="K147" s="392"/>
      <c r="L147" s="392"/>
      <c r="M147" s="393"/>
      <c r="N147" s="394"/>
      <c r="O147" s="394"/>
    </row>
    <row r="148" spans="1:15" ht="12.75" customHeight="1">
      <c r="B148" s="386" t="s">
        <v>426</v>
      </c>
      <c r="C148" s="391"/>
      <c r="D148" s="391"/>
      <c r="E148" s="391"/>
      <c r="F148" s="391"/>
      <c r="G148" s="388"/>
      <c r="H148" s="392"/>
      <c r="I148" s="392"/>
      <c r="J148" s="392"/>
      <c r="K148" s="392"/>
      <c r="L148" s="392"/>
      <c r="M148" s="393"/>
      <c r="N148" s="394"/>
      <c r="O148" s="394"/>
    </row>
    <row r="149" spans="1:15" ht="12.75" customHeight="1">
      <c r="B149" s="386" t="s">
        <v>427</v>
      </c>
      <c r="C149" s="391"/>
      <c r="D149" s="391"/>
      <c r="E149" s="391"/>
      <c r="F149" s="391"/>
      <c r="G149" s="388"/>
      <c r="H149" s="392"/>
      <c r="I149" s="392"/>
      <c r="J149" s="392"/>
      <c r="K149" s="392"/>
      <c r="L149" s="392"/>
      <c r="M149" s="393"/>
      <c r="N149" s="394"/>
      <c r="O149" s="394"/>
    </row>
    <row r="150" spans="1:15" ht="12.75" customHeight="1">
      <c r="B150" s="386" t="s">
        <v>428</v>
      </c>
      <c r="C150" s="391"/>
      <c r="D150" s="391"/>
      <c r="E150" s="391"/>
      <c r="F150" s="391"/>
      <c r="G150" s="388"/>
      <c r="H150" s="392"/>
      <c r="I150" s="392"/>
      <c r="J150" s="392"/>
      <c r="K150" s="392"/>
      <c r="L150" s="392"/>
      <c r="M150" s="393"/>
      <c r="N150" s="394"/>
      <c r="O150" s="394"/>
    </row>
    <row r="151" spans="1:15" ht="12.75" customHeight="1">
      <c r="B151" s="386" t="s">
        <v>422</v>
      </c>
      <c r="C151" s="391"/>
      <c r="D151" s="391"/>
      <c r="E151" s="391"/>
      <c r="F151" s="391"/>
      <c r="G151" s="388"/>
      <c r="H151" s="392"/>
      <c r="I151" s="392"/>
      <c r="J151" s="392"/>
      <c r="K151" s="392"/>
      <c r="L151" s="392"/>
      <c r="M151" s="393"/>
      <c r="N151" s="394"/>
      <c r="O151" s="394"/>
    </row>
    <row r="152" spans="1:15" ht="12.75" customHeight="1">
      <c r="B152" s="386" t="s">
        <v>442</v>
      </c>
      <c r="C152" s="391"/>
      <c r="D152" s="391"/>
      <c r="E152" s="391"/>
      <c r="F152" s="391"/>
      <c r="G152" s="388"/>
      <c r="H152" s="392"/>
      <c r="I152" s="392"/>
      <c r="J152" s="392"/>
      <c r="K152" s="392"/>
      <c r="L152" s="392"/>
      <c r="M152" s="393"/>
      <c r="N152" s="394"/>
      <c r="O152" s="394"/>
    </row>
    <row r="153" spans="1:15" ht="12.75" customHeight="1">
      <c r="B153" s="386" t="s">
        <v>444</v>
      </c>
      <c r="C153" s="391"/>
      <c r="D153" s="391"/>
      <c r="E153" s="391"/>
      <c r="F153" s="391"/>
      <c r="G153" s="388"/>
      <c r="H153" s="392"/>
      <c r="I153" s="392"/>
      <c r="J153" s="392"/>
      <c r="K153" s="392"/>
      <c r="L153" s="392"/>
      <c r="M153" s="393"/>
      <c r="N153" s="394"/>
      <c r="O153" s="394"/>
    </row>
    <row r="154" spans="1:15" ht="12.6" customHeight="1">
      <c r="B154" s="690" t="s">
        <v>443</v>
      </c>
      <c r="C154" s="690"/>
      <c r="D154" s="690"/>
      <c r="E154" s="690"/>
      <c r="F154" s="690"/>
      <c r="G154" s="690"/>
      <c r="H154" s="690"/>
      <c r="I154" s="690"/>
      <c r="J154" s="690"/>
      <c r="K154" s="690"/>
      <c r="L154" s="690"/>
      <c r="M154" s="690"/>
      <c r="N154" s="394"/>
      <c r="O154" s="394"/>
    </row>
    <row r="155" spans="1:15" ht="8.25" customHeight="1">
      <c r="A155" s="1"/>
      <c r="B155" s="71"/>
      <c r="C155" s="72"/>
      <c r="D155" s="73"/>
      <c r="E155" s="74"/>
      <c r="F155" s="74"/>
      <c r="G155" s="73"/>
      <c r="H155" s="74"/>
      <c r="I155" s="74"/>
      <c r="J155" s="74"/>
      <c r="K155" s="74"/>
      <c r="L155" s="74"/>
      <c r="M155" s="74"/>
      <c r="N155" s="1"/>
      <c r="O155" s="1"/>
    </row>
    <row r="156" spans="1:15" ht="14.1" customHeight="1">
      <c r="A156" s="1"/>
      <c r="B156" s="571" t="s">
        <v>243</v>
      </c>
      <c r="C156" s="572"/>
      <c r="D156" s="572"/>
      <c r="E156" s="572"/>
      <c r="F156" s="572"/>
      <c r="G156" s="572"/>
      <c r="H156" s="572"/>
      <c r="I156" s="572"/>
      <c r="J156" s="572"/>
      <c r="K156" s="572"/>
      <c r="L156" s="572"/>
      <c r="M156" s="572"/>
      <c r="N156" s="5" t="str">
        <f>N1</f>
        <v>Rev.11_07</v>
      </c>
      <c r="O156" s="1"/>
    </row>
    <row r="157" spans="1:15" ht="3" customHeight="1" thickBot="1">
      <c r="A157" s="1"/>
      <c r="B157" s="75"/>
      <c r="C157" s="76"/>
      <c r="D157" s="76"/>
      <c r="E157" s="76"/>
      <c r="F157" s="76"/>
      <c r="G157" s="76"/>
      <c r="H157" s="76"/>
      <c r="I157" s="76"/>
      <c r="J157" s="76"/>
      <c r="K157" s="76"/>
      <c r="L157" s="76"/>
      <c r="M157" s="76"/>
      <c r="N157" s="1"/>
      <c r="O157" s="1"/>
    </row>
    <row r="158" spans="1:15" ht="24.75" customHeight="1" thickBot="1">
      <c r="A158" s="1"/>
      <c r="B158" s="472"/>
      <c r="C158" s="693"/>
      <c r="D158" s="695" t="s">
        <v>203</v>
      </c>
      <c r="E158" s="696"/>
      <c r="F158" s="696"/>
      <c r="G158" s="696"/>
      <c r="H158" s="696"/>
      <c r="I158" s="696"/>
      <c r="J158" s="696"/>
      <c r="K158" s="696"/>
      <c r="L158" s="77" t="s">
        <v>204</v>
      </c>
      <c r="M158" s="516" t="s">
        <v>85</v>
      </c>
      <c r="N158" s="694"/>
      <c r="O158" s="1"/>
    </row>
    <row r="159" spans="1:15" ht="14.1" customHeight="1" thickTop="1">
      <c r="A159" s="1"/>
      <c r="B159" s="697">
        <v>1</v>
      </c>
      <c r="C159" s="698"/>
      <c r="D159" s="699" t="s">
        <v>63</v>
      </c>
      <c r="E159" s="700"/>
      <c r="F159" s="700"/>
      <c r="G159" s="700"/>
      <c r="H159" s="700"/>
      <c r="I159" s="700"/>
      <c r="J159" s="700"/>
      <c r="K159" s="701"/>
      <c r="L159" s="78" t="s">
        <v>359</v>
      </c>
      <c r="M159" s="691" t="s">
        <v>107</v>
      </c>
      <c r="N159" s="692"/>
      <c r="O159" s="1"/>
    </row>
    <row r="160" spans="1:15" ht="14.1" customHeight="1">
      <c r="A160" s="1"/>
      <c r="B160" s="470">
        <v>2</v>
      </c>
      <c r="C160" s="471"/>
      <c r="D160" s="523" t="s">
        <v>64</v>
      </c>
      <c r="E160" s="524"/>
      <c r="F160" s="524"/>
      <c r="G160" s="524"/>
      <c r="H160" s="524"/>
      <c r="I160" s="524"/>
      <c r="J160" s="524"/>
      <c r="K160" s="525"/>
      <c r="L160" s="79" t="s">
        <v>360</v>
      </c>
      <c r="M160" s="546" t="s">
        <v>86</v>
      </c>
      <c r="N160" s="547"/>
      <c r="O160" s="1"/>
    </row>
    <row r="161" spans="1:15" ht="14.1" customHeight="1">
      <c r="A161" s="1"/>
      <c r="B161" s="470">
        <v>3</v>
      </c>
      <c r="C161" s="471"/>
      <c r="D161" s="523" t="s">
        <v>65</v>
      </c>
      <c r="E161" s="524"/>
      <c r="F161" s="524"/>
      <c r="G161" s="524"/>
      <c r="H161" s="524"/>
      <c r="I161" s="524"/>
      <c r="J161" s="524"/>
      <c r="K161" s="525"/>
      <c r="L161" s="79" t="s">
        <v>361</v>
      </c>
      <c r="M161" s="546" t="s">
        <v>87</v>
      </c>
      <c r="N161" s="547"/>
      <c r="O161" s="1"/>
    </row>
    <row r="162" spans="1:15" ht="14.1" customHeight="1">
      <c r="A162" s="1"/>
      <c r="B162" s="470">
        <v>4</v>
      </c>
      <c r="C162" s="471"/>
      <c r="D162" s="523" t="s">
        <v>66</v>
      </c>
      <c r="E162" s="524"/>
      <c r="F162" s="524"/>
      <c r="G162" s="524"/>
      <c r="H162" s="524"/>
      <c r="I162" s="524"/>
      <c r="J162" s="524"/>
      <c r="K162" s="525"/>
      <c r="L162" s="79" t="s">
        <v>362</v>
      </c>
      <c r="M162" s="546" t="s">
        <v>88</v>
      </c>
      <c r="N162" s="547"/>
      <c r="O162" s="1"/>
    </row>
    <row r="163" spans="1:15" ht="14.1" customHeight="1">
      <c r="A163" s="1"/>
      <c r="B163" s="470">
        <v>5</v>
      </c>
      <c r="C163" s="471"/>
      <c r="D163" s="523" t="s">
        <v>67</v>
      </c>
      <c r="E163" s="524"/>
      <c r="F163" s="524"/>
      <c r="G163" s="524"/>
      <c r="H163" s="524"/>
      <c r="I163" s="524"/>
      <c r="J163" s="524"/>
      <c r="K163" s="525"/>
      <c r="L163" s="79" t="s">
        <v>363</v>
      </c>
      <c r="M163" s="546" t="s">
        <v>89</v>
      </c>
      <c r="N163" s="547"/>
      <c r="O163" s="1"/>
    </row>
    <row r="164" spans="1:15" ht="14.1" customHeight="1">
      <c r="A164" s="1"/>
      <c r="B164" s="470">
        <v>6</v>
      </c>
      <c r="C164" s="471"/>
      <c r="D164" s="523" t="s">
        <v>68</v>
      </c>
      <c r="E164" s="524"/>
      <c r="F164" s="524"/>
      <c r="G164" s="524"/>
      <c r="H164" s="524"/>
      <c r="I164" s="524"/>
      <c r="J164" s="524"/>
      <c r="K164" s="525"/>
      <c r="L164" s="79" t="s">
        <v>364</v>
      </c>
      <c r="M164" s="546" t="s">
        <v>90</v>
      </c>
      <c r="N164" s="547"/>
      <c r="O164" s="1"/>
    </row>
    <row r="165" spans="1:15" ht="14.1" customHeight="1">
      <c r="A165" s="1"/>
      <c r="B165" s="470">
        <v>7</v>
      </c>
      <c r="C165" s="471"/>
      <c r="D165" s="523" t="s">
        <v>69</v>
      </c>
      <c r="E165" s="524"/>
      <c r="F165" s="524"/>
      <c r="G165" s="524"/>
      <c r="H165" s="524"/>
      <c r="I165" s="524"/>
      <c r="J165" s="524"/>
      <c r="K165" s="525"/>
      <c r="L165" s="79" t="s">
        <v>365</v>
      </c>
      <c r="M165" s="546" t="s">
        <v>91</v>
      </c>
      <c r="N165" s="547"/>
      <c r="O165" s="1"/>
    </row>
    <row r="166" spans="1:15" ht="14.1" customHeight="1">
      <c r="A166" s="1"/>
      <c r="B166" s="470">
        <v>8</v>
      </c>
      <c r="C166" s="471"/>
      <c r="D166" s="523" t="s">
        <v>70</v>
      </c>
      <c r="E166" s="524"/>
      <c r="F166" s="524"/>
      <c r="G166" s="524"/>
      <c r="H166" s="524"/>
      <c r="I166" s="524"/>
      <c r="J166" s="524"/>
      <c r="K166" s="525"/>
      <c r="L166" s="79" t="s">
        <v>366</v>
      </c>
      <c r="M166" s="546" t="s">
        <v>92</v>
      </c>
      <c r="N166" s="547"/>
      <c r="O166" s="1"/>
    </row>
    <row r="167" spans="1:15" ht="14.1" customHeight="1">
      <c r="A167" s="1"/>
      <c r="B167" s="470">
        <v>9</v>
      </c>
      <c r="C167" s="471"/>
      <c r="D167" s="523" t="s">
        <v>71</v>
      </c>
      <c r="E167" s="524"/>
      <c r="F167" s="524"/>
      <c r="G167" s="524"/>
      <c r="H167" s="524"/>
      <c r="I167" s="524"/>
      <c r="J167" s="524"/>
      <c r="K167" s="525"/>
      <c r="L167" s="79" t="s">
        <v>367</v>
      </c>
      <c r="M167" s="546" t="s">
        <v>93</v>
      </c>
      <c r="N167" s="547"/>
      <c r="O167" s="1"/>
    </row>
    <row r="168" spans="1:15" ht="14.1" customHeight="1">
      <c r="A168" s="1"/>
      <c r="B168" s="470">
        <v>10</v>
      </c>
      <c r="C168" s="471"/>
      <c r="D168" s="523" t="s">
        <v>72</v>
      </c>
      <c r="E168" s="524"/>
      <c r="F168" s="524"/>
      <c r="G168" s="524"/>
      <c r="H168" s="524"/>
      <c r="I168" s="524"/>
      <c r="J168" s="524"/>
      <c r="K168" s="525"/>
      <c r="L168" s="79" t="s">
        <v>368</v>
      </c>
      <c r="M168" s="546" t="s">
        <v>94</v>
      </c>
      <c r="N168" s="547"/>
      <c r="O168" s="1"/>
    </row>
    <row r="169" spans="1:15" ht="14.1" customHeight="1">
      <c r="A169" s="1"/>
      <c r="B169" s="470">
        <v>11</v>
      </c>
      <c r="C169" s="471"/>
      <c r="D169" s="523" t="s">
        <v>73</v>
      </c>
      <c r="E169" s="524"/>
      <c r="F169" s="524"/>
      <c r="G169" s="524"/>
      <c r="H169" s="524"/>
      <c r="I169" s="524"/>
      <c r="J169" s="524"/>
      <c r="K169" s="525"/>
      <c r="L169" s="79" t="s">
        <v>369</v>
      </c>
      <c r="M169" s="546" t="s">
        <v>95</v>
      </c>
      <c r="N169" s="547"/>
      <c r="O169" s="1"/>
    </row>
    <row r="170" spans="1:15" ht="14.1" customHeight="1">
      <c r="A170" s="1"/>
      <c r="B170" s="470">
        <v>12</v>
      </c>
      <c r="C170" s="471"/>
      <c r="D170" s="523" t="s">
        <v>74</v>
      </c>
      <c r="E170" s="524"/>
      <c r="F170" s="524"/>
      <c r="G170" s="524"/>
      <c r="H170" s="524"/>
      <c r="I170" s="524"/>
      <c r="J170" s="524"/>
      <c r="K170" s="525"/>
      <c r="L170" s="79" t="s">
        <v>370</v>
      </c>
      <c r="M170" s="546" t="s">
        <v>96</v>
      </c>
      <c r="N170" s="547"/>
      <c r="O170" s="1"/>
    </row>
    <row r="171" spans="1:15" ht="14.1" customHeight="1">
      <c r="A171" s="1"/>
      <c r="B171" s="470">
        <v>13</v>
      </c>
      <c r="C171" s="471"/>
      <c r="D171" s="523" t="s">
        <v>75</v>
      </c>
      <c r="E171" s="524"/>
      <c r="F171" s="524"/>
      <c r="G171" s="524"/>
      <c r="H171" s="524"/>
      <c r="I171" s="524"/>
      <c r="J171" s="524"/>
      <c r="K171" s="525"/>
      <c r="L171" s="79" t="s">
        <v>371</v>
      </c>
      <c r="M171" s="546" t="s">
        <v>97</v>
      </c>
      <c r="N171" s="547"/>
      <c r="O171" s="1"/>
    </row>
    <row r="172" spans="1:15" ht="14.1" customHeight="1">
      <c r="A172" s="1"/>
      <c r="B172" s="470">
        <v>14</v>
      </c>
      <c r="C172" s="471"/>
      <c r="D172" s="523" t="s">
        <v>76</v>
      </c>
      <c r="E172" s="524"/>
      <c r="F172" s="524"/>
      <c r="G172" s="524"/>
      <c r="H172" s="524"/>
      <c r="I172" s="524"/>
      <c r="J172" s="524"/>
      <c r="K172" s="525"/>
      <c r="L172" s="79" t="s">
        <v>372</v>
      </c>
      <c r="M172" s="546" t="s">
        <v>98</v>
      </c>
      <c r="N172" s="547"/>
      <c r="O172" s="1"/>
    </row>
    <row r="173" spans="1:15" ht="14.1" customHeight="1">
      <c r="A173" s="1"/>
      <c r="B173" s="470">
        <v>15</v>
      </c>
      <c r="C173" s="471"/>
      <c r="D173" s="523" t="s">
        <v>77</v>
      </c>
      <c r="E173" s="524"/>
      <c r="F173" s="524"/>
      <c r="G173" s="524"/>
      <c r="H173" s="524"/>
      <c r="I173" s="524"/>
      <c r="J173" s="524"/>
      <c r="K173" s="525"/>
      <c r="L173" s="79" t="s">
        <v>373</v>
      </c>
      <c r="M173" s="546" t="s">
        <v>99</v>
      </c>
      <c r="N173" s="547"/>
      <c r="O173" s="1"/>
    </row>
    <row r="174" spans="1:15" ht="14.1" customHeight="1">
      <c r="A174" s="1"/>
      <c r="B174" s="470">
        <v>16</v>
      </c>
      <c r="C174" s="471"/>
      <c r="D174" s="523" t="s">
        <v>78</v>
      </c>
      <c r="E174" s="524"/>
      <c r="F174" s="524"/>
      <c r="G174" s="524"/>
      <c r="H174" s="524"/>
      <c r="I174" s="524"/>
      <c r="J174" s="524"/>
      <c r="K174" s="525"/>
      <c r="L174" s="79" t="s">
        <v>374</v>
      </c>
      <c r="M174" s="546" t="s">
        <v>100</v>
      </c>
      <c r="N174" s="547"/>
      <c r="O174" s="1"/>
    </row>
    <row r="175" spans="1:15" ht="14.1" customHeight="1">
      <c r="A175" s="1"/>
      <c r="B175" s="470">
        <v>17</v>
      </c>
      <c r="C175" s="471"/>
      <c r="D175" s="523" t="s">
        <v>79</v>
      </c>
      <c r="E175" s="524"/>
      <c r="F175" s="524"/>
      <c r="G175" s="524"/>
      <c r="H175" s="524"/>
      <c r="I175" s="524"/>
      <c r="J175" s="524"/>
      <c r="K175" s="525"/>
      <c r="L175" s="79" t="s">
        <v>375</v>
      </c>
      <c r="M175" s="546" t="s">
        <v>101</v>
      </c>
      <c r="N175" s="547"/>
      <c r="O175" s="1"/>
    </row>
    <row r="176" spans="1:15" ht="14.1" customHeight="1">
      <c r="A176" s="1"/>
      <c r="B176" s="470">
        <v>18</v>
      </c>
      <c r="C176" s="471"/>
      <c r="D176" s="523" t="s">
        <v>80</v>
      </c>
      <c r="E176" s="524"/>
      <c r="F176" s="524"/>
      <c r="G176" s="524"/>
      <c r="H176" s="524"/>
      <c r="I176" s="524"/>
      <c r="J176" s="524"/>
      <c r="K176" s="525"/>
      <c r="L176" s="79" t="s">
        <v>376</v>
      </c>
      <c r="M176" s="546" t="s">
        <v>102</v>
      </c>
      <c r="N176" s="547"/>
      <c r="O176" s="1"/>
    </row>
    <row r="177" spans="1:15" ht="14.1" customHeight="1">
      <c r="A177" s="1"/>
      <c r="B177" s="470">
        <v>19</v>
      </c>
      <c r="C177" s="471"/>
      <c r="D177" s="523" t="s">
        <v>81</v>
      </c>
      <c r="E177" s="524"/>
      <c r="F177" s="524"/>
      <c r="G177" s="524"/>
      <c r="H177" s="524"/>
      <c r="I177" s="524"/>
      <c r="J177" s="524"/>
      <c r="K177" s="525"/>
      <c r="L177" s="79" t="s">
        <v>377</v>
      </c>
      <c r="M177" s="546" t="s">
        <v>103</v>
      </c>
      <c r="N177" s="547"/>
      <c r="O177" s="1"/>
    </row>
    <row r="178" spans="1:15" ht="14.1" customHeight="1">
      <c r="A178" s="1"/>
      <c r="B178" s="470">
        <v>20</v>
      </c>
      <c r="C178" s="471"/>
      <c r="D178" s="523" t="s">
        <v>82</v>
      </c>
      <c r="E178" s="524"/>
      <c r="F178" s="524"/>
      <c r="G178" s="524"/>
      <c r="H178" s="524"/>
      <c r="I178" s="524"/>
      <c r="J178" s="524"/>
      <c r="K178" s="525"/>
      <c r="L178" s="79" t="s">
        <v>378</v>
      </c>
      <c r="M178" s="546" t="s">
        <v>104</v>
      </c>
      <c r="N178" s="547"/>
      <c r="O178" s="1"/>
    </row>
    <row r="179" spans="1:15" ht="14.1" customHeight="1">
      <c r="A179" s="1"/>
      <c r="B179" s="470">
        <v>21</v>
      </c>
      <c r="C179" s="471"/>
      <c r="D179" s="523" t="s">
        <v>83</v>
      </c>
      <c r="E179" s="524"/>
      <c r="F179" s="524"/>
      <c r="G179" s="524"/>
      <c r="H179" s="524"/>
      <c r="I179" s="524"/>
      <c r="J179" s="524"/>
      <c r="K179" s="525"/>
      <c r="L179" s="79" t="s">
        <v>379</v>
      </c>
      <c r="M179" s="546" t="s">
        <v>105</v>
      </c>
      <c r="N179" s="547"/>
      <c r="O179" s="1"/>
    </row>
    <row r="180" spans="1:15" ht="14.1" customHeight="1" thickBot="1">
      <c r="A180" s="1"/>
      <c r="B180" s="501">
        <v>22</v>
      </c>
      <c r="C180" s="502"/>
      <c r="D180" s="548" t="s">
        <v>84</v>
      </c>
      <c r="E180" s="549"/>
      <c r="F180" s="549"/>
      <c r="G180" s="549"/>
      <c r="H180" s="549"/>
      <c r="I180" s="549"/>
      <c r="J180" s="549"/>
      <c r="K180" s="550"/>
      <c r="L180" s="80" t="s">
        <v>380</v>
      </c>
      <c r="M180" s="558" t="s">
        <v>106</v>
      </c>
      <c r="N180" s="559"/>
      <c r="O180" s="1"/>
    </row>
    <row r="181" spans="1:15" ht="6" customHeight="1">
      <c r="A181" s="1"/>
      <c r="B181" s="81"/>
      <c r="C181" s="82"/>
      <c r="D181" s="54"/>
      <c r="E181" s="83"/>
      <c r="F181" s="83"/>
      <c r="G181" s="83"/>
      <c r="H181" s="83"/>
      <c r="I181" s="83"/>
      <c r="J181" s="83"/>
      <c r="K181" s="83"/>
      <c r="L181" s="84"/>
      <c r="M181" s="85"/>
      <c r="N181" s="1"/>
      <c r="O181" s="1"/>
    </row>
    <row r="182" spans="1:15" ht="14.25" customHeight="1">
      <c r="A182" s="1"/>
      <c r="B182" s="503" t="s">
        <v>272</v>
      </c>
      <c r="C182" s="504"/>
      <c r="D182" s="504"/>
      <c r="E182" s="504"/>
      <c r="F182" s="504"/>
      <c r="G182" s="504"/>
      <c r="H182" s="504"/>
      <c r="I182" s="504"/>
      <c r="J182" s="504"/>
      <c r="K182" s="504"/>
      <c r="L182" s="504"/>
      <c r="M182" s="74"/>
      <c r="N182" s="5"/>
      <c r="O182" s="1"/>
    </row>
    <row r="183" spans="1:15" ht="3" customHeight="1" thickBot="1">
      <c r="A183" s="1"/>
      <c r="B183" s="86"/>
      <c r="C183" s="87"/>
      <c r="D183" s="87"/>
      <c r="E183" s="87"/>
      <c r="F183" s="87"/>
      <c r="G183" s="87"/>
      <c r="H183" s="87"/>
      <c r="I183" s="87"/>
      <c r="J183" s="87"/>
      <c r="K183" s="87"/>
      <c r="L183" s="87"/>
      <c r="M183" s="74"/>
      <c r="N183" s="1"/>
      <c r="O183" s="1"/>
    </row>
    <row r="184" spans="1:15" ht="14.1" customHeight="1">
      <c r="A184" s="1"/>
      <c r="B184" s="564">
        <v>1</v>
      </c>
      <c r="C184" s="565"/>
      <c r="D184" s="566" t="s">
        <v>108</v>
      </c>
      <c r="E184" s="552"/>
      <c r="F184" s="552"/>
      <c r="G184" s="552"/>
      <c r="H184" s="551" t="s">
        <v>133</v>
      </c>
      <c r="I184" s="552"/>
      <c r="J184" s="552"/>
      <c r="K184" s="552"/>
      <c r="L184" s="553"/>
      <c r="M184" s="74"/>
      <c r="N184" s="1"/>
      <c r="O184" s="1"/>
    </row>
    <row r="185" spans="1:15" ht="14.1" customHeight="1">
      <c r="A185" s="1"/>
      <c r="B185" s="470">
        <v>2</v>
      </c>
      <c r="C185" s="471"/>
      <c r="D185" s="521" t="s">
        <v>381</v>
      </c>
      <c r="E185" s="522"/>
      <c r="F185" s="522"/>
      <c r="G185" s="522"/>
      <c r="H185" s="526" t="s">
        <v>134</v>
      </c>
      <c r="I185" s="522"/>
      <c r="J185" s="522"/>
      <c r="K185" s="522"/>
      <c r="L185" s="527"/>
      <c r="M185" s="74"/>
      <c r="N185" s="1"/>
      <c r="O185" s="1"/>
    </row>
    <row r="186" spans="1:15" ht="14.1" customHeight="1">
      <c r="A186" s="1"/>
      <c r="B186" s="470">
        <v>3</v>
      </c>
      <c r="C186" s="471"/>
      <c r="D186" s="521" t="s">
        <v>62</v>
      </c>
      <c r="E186" s="522"/>
      <c r="F186" s="522"/>
      <c r="G186" s="522"/>
      <c r="H186" s="526" t="s">
        <v>135</v>
      </c>
      <c r="I186" s="522"/>
      <c r="J186" s="522"/>
      <c r="K186" s="522"/>
      <c r="L186" s="527"/>
      <c r="M186" s="74"/>
      <c r="N186" s="1"/>
      <c r="O186" s="1"/>
    </row>
    <row r="187" spans="1:15" ht="14.1" customHeight="1">
      <c r="A187" s="1"/>
      <c r="B187" s="470">
        <v>4</v>
      </c>
      <c r="C187" s="471"/>
      <c r="D187" s="521" t="s">
        <v>247</v>
      </c>
      <c r="E187" s="522"/>
      <c r="F187" s="522"/>
      <c r="G187" s="522"/>
      <c r="H187" s="526" t="s">
        <v>136</v>
      </c>
      <c r="I187" s="522"/>
      <c r="J187" s="522"/>
      <c r="K187" s="522"/>
      <c r="L187" s="527"/>
      <c r="M187" s="74"/>
      <c r="N187" s="1"/>
      <c r="O187" s="1"/>
    </row>
    <row r="188" spans="1:15" ht="14.1" customHeight="1">
      <c r="A188" s="1"/>
      <c r="B188" s="470">
        <v>5</v>
      </c>
      <c r="C188" s="471"/>
      <c r="D188" s="521" t="s">
        <v>382</v>
      </c>
      <c r="E188" s="522"/>
      <c r="F188" s="522"/>
      <c r="G188" s="522"/>
      <c r="H188" s="526" t="s">
        <v>137</v>
      </c>
      <c r="I188" s="522"/>
      <c r="J188" s="522"/>
      <c r="K188" s="522"/>
      <c r="L188" s="527"/>
      <c r="M188" s="74"/>
      <c r="N188" s="1"/>
      <c r="O188" s="1"/>
    </row>
    <row r="189" spans="1:15" ht="14.1" customHeight="1">
      <c r="A189" s="1"/>
      <c r="B189" s="470">
        <v>6</v>
      </c>
      <c r="C189" s="471"/>
      <c r="D189" s="521" t="s">
        <v>45</v>
      </c>
      <c r="E189" s="522"/>
      <c r="F189" s="522"/>
      <c r="G189" s="522"/>
      <c r="H189" s="526" t="s">
        <v>109</v>
      </c>
      <c r="I189" s="522"/>
      <c r="J189" s="522"/>
      <c r="K189" s="522"/>
      <c r="L189" s="527"/>
      <c r="M189" s="74"/>
      <c r="N189" s="1"/>
      <c r="O189" s="1"/>
    </row>
    <row r="190" spans="1:15" ht="14.1" customHeight="1">
      <c r="A190" s="1"/>
      <c r="B190" s="470">
        <v>7</v>
      </c>
      <c r="C190" s="471"/>
      <c r="D190" s="521" t="s">
        <v>383</v>
      </c>
      <c r="E190" s="522"/>
      <c r="F190" s="522"/>
      <c r="G190" s="522"/>
      <c r="H190" s="526" t="s">
        <v>138</v>
      </c>
      <c r="I190" s="522"/>
      <c r="J190" s="522"/>
      <c r="K190" s="522"/>
      <c r="L190" s="527"/>
      <c r="M190" s="74"/>
      <c r="N190" s="1"/>
      <c r="O190" s="1"/>
    </row>
    <row r="191" spans="1:15" ht="14.1" customHeight="1">
      <c r="A191" s="1"/>
      <c r="B191" s="470">
        <v>8</v>
      </c>
      <c r="C191" s="471"/>
      <c r="D191" s="521" t="s">
        <v>384</v>
      </c>
      <c r="E191" s="522"/>
      <c r="F191" s="522"/>
      <c r="G191" s="522"/>
      <c r="H191" s="526" t="s">
        <v>139</v>
      </c>
      <c r="I191" s="522"/>
      <c r="J191" s="522"/>
      <c r="K191" s="522"/>
      <c r="L191" s="527"/>
      <c r="M191" s="74"/>
      <c r="N191" s="1"/>
      <c r="O191" s="1"/>
    </row>
    <row r="192" spans="1:15" ht="14.1" customHeight="1" thickBot="1">
      <c r="A192" s="1"/>
      <c r="B192" s="501">
        <v>9</v>
      </c>
      <c r="C192" s="502"/>
      <c r="D192" s="560" t="s">
        <v>248</v>
      </c>
      <c r="E192" s="561"/>
      <c r="F192" s="561"/>
      <c r="G192" s="561"/>
      <c r="H192" s="562" t="s">
        <v>140</v>
      </c>
      <c r="I192" s="561"/>
      <c r="J192" s="561"/>
      <c r="K192" s="561"/>
      <c r="L192" s="563"/>
      <c r="M192" s="74"/>
      <c r="N192" s="1"/>
      <c r="O192" s="1"/>
    </row>
    <row r="193" spans="1:15" ht="19.5" customHeight="1">
      <c r="A193" s="1"/>
      <c r="B193" s="71"/>
      <c r="C193" s="570"/>
      <c r="D193" s="570"/>
      <c r="E193" s="570"/>
      <c r="F193" s="570"/>
      <c r="G193" s="570"/>
      <c r="H193" s="570"/>
      <c r="I193" s="570"/>
      <c r="J193" s="570"/>
      <c r="K193" s="570"/>
      <c r="L193" s="570"/>
      <c r="M193" s="570"/>
      <c r="N193" s="1"/>
      <c r="O193" s="1"/>
    </row>
    <row r="194" spans="1:15" ht="19.5" customHeight="1">
      <c r="A194" s="1"/>
      <c r="B194" s="571" t="s">
        <v>333</v>
      </c>
      <c r="C194" s="572"/>
      <c r="D194" s="572"/>
      <c r="E194" s="572"/>
      <c r="F194" s="572"/>
      <c r="G194" s="572"/>
      <c r="H194" s="572"/>
      <c r="I194" s="572"/>
      <c r="J194" s="572"/>
      <c r="K194" s="572"/>
      <c r="L194" s="572"/>
      <c r="M194" s="572"/>
      <c r="N194" s="1"/>
      <c r="O194" s="1"/>
    </row>
    <row r="195" spans="1:15" ht="36.75" customHeight="1">
      <c r="A195" s="1"/>
      <c r="B195" s="494" t="s">
        <v>417</v>
      </c>
      <c r="C195" s="494"/>
      <c r="D195" s="494"/>
      <c r="E195" s="494"/>
      <c r="F195" s="494"/>
      <c r="G195" s="494"/>
      <c r="H195" s="494"/>
      <c r="I195" s="494"/>
      <c r="J195" s="494"/>
      <c r="K195" s="494"/>
      <c r="L195" s="494"/>
      <c r="M195" s="494"/>
      <c r="N195" s="1"/>
      <c r="O195" s="1"/>
    </row>
    <row r="196" spans="1:15" ht="21" customHeight="1" thickBot="1">
      <c r="A196" s="1"/>
      <c r="B196" s="494"/>
      <c r="C196" s="494"/>
      <c r="D196" s="494"/>
      <c r="E196" s="494"/>
      <c r="F196" s="494"/>
      <c r="G196" s="494"/>
      <c r="H196" s="494"/>
      <c r="I196" s="494"/>
      <c r="J196" s="494"/>
      <c r="K196" s="494"/>
      <c r="L196" s="494"/>
      <c r="M196" s="494"/>
      <c r="N196" s="1"/>
      <c r="O196" s="1"/>
    </row>
    <row r="197" spans="1:15" ht="19.5" customHeight="1" thickBot="1">
      <c r="A197" s="1"/>
      <c r="B197" s="573" t="s">
        <v>156</v>
      </c>
      <c r="C197" s="574"/>
      <c r="D197" s="575" t="s">
        <v>151</v>
      </c>
      <c r="E197" s="574"/>
      <c r="F197" s="518" t="s">
        <v>410</v>
      </c>
      <c r="G197" s="519"/>
      <c r="H197" s="519"/>
      <c r="I197" s="519"/>
      <c r="J197" s="519"/>
      <c r="K197" s="519"/>
      <c r="L197" s="520"/>
      <c r="M197" s="340"/>
      <c r="N197" s="1"/>
      <c r="O197" s="1"/>
    </row>
    <row r="198" spans="1:15" ht="19.5" customHeight="1" thickTop="1">
      <c r="A198" s="1"/>
      <c r="B198" s="505">
        <v>20</v>
      </c>
      <c r="C198" s="506"/>
      <c r="D198" s="509" t="s">
        <v>406</v>
      </c>
      <c r="E198" s="506"/>
      <c r="F198" s="509" t="s">
        <v>418</v>
      </c>
      <c r="G198" s="511"/>
      <c r="H198" s="511"/>
      <c r="I198" s="511"/>
      <c r="J198" s="511"/>
      <c r="K198" s="511"/>
      <c r="L198" s="512"/>
      <c r="M198" s="340"/>
      <c r="N198" s="2"/>
      <c r="O198" s="1"/>
    </row>
    <row r="199" spans="1:15" ht="19.5" customHeight="1" thickBot="1">
      <c r="A199" s="1"/>
      <c r="B199" s="507"/>
      <c r="C199" s="508"/>
      <c r="D199" s="510"/>
      <c r="E199" s="508"/>
      <c r="F199" s="513"/>
      <c r="G199" s="514"/>
      <c r="H199" s="514"/>
      <c r="I199" s="514"/>
      <c r="J199" s="514"/>
      <c r="K199" s="514"/>
      <c r="L199" s="515"/>
      <c r="M199" s="340"/>
      <c r="N199" s="1"/>
      <c r="O199" s="1"/>
    </row>
    <row r="200" spans="1:15" ht="14.1" customHeight="1">
      <c r="A200" s="1"/>
      <c r="B200" s="71"/>
      <c r="C200" s="340"/>
      <c r="D200" s="340"/>
      <c r="E200" s="340"/>
      <c r="F200" s="340"/>
      <c r="G200" s="340"/>
      <c r="H200" s="340"/>
      <c r="I200" s="340"/>
      <c r="J200" s="340"/>
      <c r="K200" s="340"/>
      <c r="L200" s="345"/>
      <c r="M200" s="91"/>
      <c r="N200" s="91"/>
      <c r="O200" s="1"/>
    </row>
    <row r="201" spans="1:15" ht="14.1" customHeight="1" thickBot="1">
      <c r="A201" s="1"/>
      <c r="B201" s="71"/>
      <c r="C201" s="340"/>
      <c r="D201" s="340"/>
      <c r="E201" s="340"/>
      <c r="F201" s="340"/>
      <c r="G201" s="340"/>
      <c r="H201" s="340"/>
      <c r="I201" s="340"/>
      <c r="J201" s="340"/>
      <c r="K201" s="340"/>
      <c r="L201" s="346"/>
      <c r="M201" s="94"/>
      <c r="N201" s="94"/>
      <c r="O201" s="1"/>
    </row>
    <row r="202" spans="1:15" ht="14.1" customHeight="1" thickBot="1">
      <c r="A202" s="1"/>
      <c r="B202" s="472"/>
      <c r="C202" s="473"/>
      <c r="D202" s="516" t="s">
        <v>203</v>
      </c>
      <c r="E202" s="528"/>
      <c r="F202" s="528"/>
      <c r="G202" s="528"/>
      <c r="H202" s="528"/>
      <c r="I202" s="517"/>
      <c r="J202" s="516" t="s">
        <v>204</v>
      </c>
      <c r="K202" s="517"/>
      <c r="L202" s="89" t="s">
        <v>320</v>
      </c>
      <c r="M202" s="93"/>
      <c r="N202" s="94"/>
      <c r="O202" s="1"/>
    </row>
    <row r="203" spans="1:15" ht="14.1" customHeight="1" thickTop="1">
      <c r="A203" s="1"/>
      <c r="B203" s="556">
        <v>1</v>
      </c>
      <c r="C203" s="557"/>
      <c r="D203" s="567" t="s">
        <v>312</v>
      </c>
      <c r="E203" s="568"/>
      <c r="F203" s="568"/>
      <c r="G203" s="568"/>
      <c r="H203" s="568"/>
      <c r="I203" s="569"/>
      <c r="J203" s="576" t="s">
        <v>385</v>
      </c>
      <c r="K203" s="577"/>
      <c r="L203" s="90" t="s">
        <v>321</v>
      </c>
      <c r="M203" s="93"/>
      <c r="N203" s="94"/>
      <c r="O203" s="1"/>
    </row>
    <row r="204" spans="1:15" ht="14.1" customHeight="1">
      <c r="A204" s="1"/>
      <c r="B204" s="470">
        <v>2</v>
      </c>
      <c r="C204" s="471"/>
      <c r="D204" s="465" t="s">
        <v>313</v>
      </c>
      <c r="E204" s="466"/>
      <c r="F204" s="466"/>
      <c r="G204" s="466"/>
      <c r="H204" s="466"/>
      <c r="I204" s="467"/>
      <c r="J204" s="468" t="s">
        <v>385</v>
      </c>
      <c r="K204" s="469"/>
      <c r="L204" s="92" t="s">
        <v>322</v>
      </c>
      <c r="M204" s="93"/>
      <c r="N204" s="94"/>
      <c r="O204" s="1"/>
    </row>
    <row r="205" spans="1:15" ht="14.1" customHeight="1">
      <c r="A205" s="1"/>
      <c r="B205" s="470">
        <v>3</v>
      </c>
      <c r="C205" s="471"/>
      <c r="D205" s="465" t="s">
        <v>314</v>
      </c>
      <c r="E205" s="466"/>
      <c r="F205" s="466"/>
      <c r="G205" s="466"/>
      <c r="H205" s="466"/>
      <c r="I205" s="467"/>
      <c r="J205" s="468" t="s">
        <v>386</v>
      </c>
      <c r="K205" s="469"/>
      <c r="L205" s="92" t="s">
        <v>323</v>
      </c>
      <c r="M205" s="93"/>
      <c r="N205" s="94"/>
      <c r="O205" s="1"/>
    </row>
    <row r="206" spans="1:15" ht="14.1" customHeight="1">
      <c r="A206" s="1"/>
      <c r="B206" s="470">
        <v>4</v>
      </c>
      <c r="C206" s="471"/>
      <c r="D206" s="465" t="s">
        <v>315</v>
      </c>
      <c r="E206" s="466"/>
      <c r="F206" s="466"/>
      <c r="G206" s="466"/>
      <c r="H206" s="466"/>
      <c r="I206" s="467"/>
      <c r="J206" s="468" t="s">
        <v>386</v>
      </c>
      <c r="K206" s="469"/>
      <c r="L206" s="92" t="s">
        <v>324</v>
      </c>
      <c r="M206" s="93"/>
      <c r="N206" s="94"/>
      <c r="O206" s="1"/>
    </row>
    <row r="207" spans="1:15" ht="14.1" customHeight="1">
      <c r="A207" s="1"/>
      <c r="B207" s="470">
        <v>5</v>
      </c>
      <c r="C207" s="471"/>
      <c r="D207" s="465" t="s">
        <v>316</v>
      </c>
      <c r="E207" s="466"/>
      <c r="F207" s="466"/>
      <c r="G207" s="466"/>
      <c r="H207" s="466"/>
      <c r="I207" s="467"/>
      <c r="J207" s="468" t="s">
        <v>385</v>
      </c>
      <c r="K207" s="469"/>
      <c r="L207" s="92" t="s">
        <v>325</v>
      </c>
      <c r="M207" s="93"/>
      <c r="N207" s="94"/>
      <c r="O207" s="1"/>
    </row>
    <row r="208" spans="1:15" s="98" customFormat="1" ht="12.75" customHeight="1">
      <c r="A208" s="88"/>
      <c r="B208" s="470">
        <v>6</v>
      </c>
      <c r="C208" s="471"/>
      <c r="D208" s="465" t="s">
        <v>317</v>
      </c>
      <c r="E208" s="466"/>
      <c r="F208" s="466"/>
      <c r="G208" s="466"/>
      <c r="H208" s="466"/>
      <c r="I208" s="467"/>
      <c r="J208" s="468" t="s">
        <v>385</v>
      </c>
      <c r="K208" s="469"/>
      <c r="L208" s="92" t="s">
        <v>326</v>
      </c>
      <c r="O208" s="88"/>
    </row>
    <row r="209" spans="1:15" s="98" customFormat="1" ht="15" customHeight="1">
      <c r="A209" s="88"/>
      <c r="B209" s="470">
        <v>7</v>
      </c>
      <c r="C209" s="471"/>
      <c r="D209" s="465" t="s">
        <v>318</v>
      </c>
      <c r="E209" s="466"/>
      <c r="F209" s="466"/>
      <c r="G209" s="466"/>
      <c r="H209" s="466"/>
      <c r="I209" s="467"/>
      <c r="J209" s="468" t="s">
        <v>385</v>
      </c>
      <c r="K209" s="469"/>
      <c r="L209" s="92" t="s">
        <v>327</v>
      </c>
      <c r="N209" s="88"/>
      <c r="O209" s="88"/>
    </row>
    <row r="210" spans="1:15" s="98" customFormat="1" ht="15" customHeight="1" thickBot="1">
      <c r="A210" s="88"/>
      <c r="B210" s="501">
        <v>8</v>
      </c>
      <c r="C210" s="502"/>
      <c r="D210" s="496" t="s">
        <v>319</v>
      </c>
      <c r="E210" s="497"/>
      <c r="F210" s="497"/>
      <c r="G210" s="497"/>
      <c r="H210" s="497"/>
      <c r="I210" s="498"/>
      <c r="J210" s="499" t="s">
        <v>387</v>
      </c>
      <c r="K210" s="500"/>
      <c r="L210" s="95" t="s">
        <v>328</v>
      </c>
      <c r="M210" s="101"/>
      <c r="N210" s="88"/>
      <c r="O210" s="88"/>
    </row>
    <row r="211" spans="1:15" s="98" customFormat="1" ht="13.5" customHeight="1">
      <c r="A211" s="100"/>
      <c r="B211" s="96"/>
      <c r="C211" s="97"/>
      <c r="D211" s="97"/>
      <c r="E211" s="97"/>
      <c r="F211" s="97"/>
      <c r="G211" s="97"/>
      <c r="H211" s="97"/>
      <c r="I211" s="97"/>
      <c r="J211" s="97"/>
      <c r="K211" s="97"/>
      <c r="L211" s="97"/>
      <c r="M211" s="101"/>
      <c r="N211" s="100"/>
      <c r="O211" s="88"/>
    </row>
    <row r="212" spans="1:15" customFormat="1" ht="13.5" customHeight="1"/>
    <row r="213" spans="1:15" s="98" customFormat="1" ht="15" customHeight="1">
      <c r="A213" s="88"/>
      <c r="B213" s="44" t="s">
        <v>411</v>
      </c>
      <c r="C213" s="97"/>
      <c r="D213" s="97"/>
      <c r="E213" s="97"/>
      <c r="F213" s="97"/>
      <c r="G213" s="97"/>
      <c r="H213" s="97"/>
      <c r="I213" s="97"/>
      <c r="J213" s="97"/>
      <c r="K213" s="97"/>
      <c r="L213" s="97"/>
      <c r="N213" s="369" t="str">
        <f>N1</f>
        <v>Rev.11_07</v>
      </c>
      <c r="O213" s="88"/>
    </row>
    <row r="214" spans="1:15" s="98" customFormat="1" ht="15" customHeight="1">
      <c r="A214" s="88"/>
      <c r="B214" s="99"/>
      <c r="C214" s="100" t="s">
        <v>412</v>
      </c>
      <c r="D214" s="101"/>
      <c r="E214" s="101"/>
      <c r="G214" s="100"/>
      <c r="H214" s="100"/>
      <c r="I214" s="100"/>
      <c r="J214" s="100"/>
      <c r="K214" s="100"/>
      <c r="L214" s="100"/>
      <c r="M214" s="101"/>
      <c r="N214" s="88"/>
      <c r="O214" s="88"/>
    </row>
    <row r="215" spans="1:15" s="98" customFormat="1" ht="13.5" customHeight="1">
      <c r="A215" s="100"/>
      <c r="B215" s="102"/>
      <c r="C215" s="100" t="s">
        <v>413</v>
      </c>
      <c r="D215" s="101"/>
      <c r="E215" s="101"/>
      <c r="G215" s="100"/>
      <c r="H215" s="100"/>
      <c r="I215" s="100"/>
      <c r="J215" s="100"/>
      <c r="K215" s="100"/>
      <c r="L215" s="100"/>
      <c r="M215" s="101"/>
      <c r="N215" s="100"/>
      <c r="O215" s="88"/>
    </row>
    <row r="216" spans="1:15" s="98" customFormat="1" ht="13.5" customHeight="1">
      <c r="A216" s="100"/>
      <c r="B216" s="102"/>
      <c r="C216" s="100" t="s">
        <v>414</v>
      </c>
      <c r="D216" s="101"/>
      <c r="E216" s="101"/>
      <c r="G216" s="100"/>
      <c r="H216" s="100"/>
      <c r="I216" s="100"/>
      <c r="J216" s="100"/>
      <c r="K216" s="100"/>
      <c r="L216" s="100"/>
      <c r="M216" s="101"/>
      <c r="N216" s="100"/>
      <c r="O216" s="88"/>
    </row>
    <row r="217" spans="1:15" s="98" customFormat="1" ht="4.5" customHeight="1" thickBot="1">
      <c r="A217" s="100"/>
      <c r="B217" s="102"/>
      <c r="C217" s="100"/>
      <c r="D217" s="101"/>
      <c r="E217" s="101"/>
      <c r="F217" s="100"/>
      <c r="G217" s="100"/>
      <c r="H217" s="100"/>
      <c r="I217" s="100"/>
      <c r="J217" s="100"/>
      <c r="K217" s="100"/>
      <c r="L217" s="100"/>
      <c r="M217" s="101"/>
      <c r="N217" s="100"/>
      <c r="O217" s="88"/>
    </row>
    <row r="218" spans="1:15" s="98" customFormat="1" ht="12.9" customHeight="1">
      <c r="A218" s="100"/>
      <c r="B218" s="103">
        <v>1</v>
      </c>
      <c r="C218" s="104"/>
      <c r="D218" s="486" t="s">
        <v>415</v>
      </c>
      <c r="E218" s="487"/>
      <c r="F218" s="487"/>
      <c r="G218" s="487"/>
      <c r="H218" s="487"/>
      <c r="I218" s="487"/>
      <c r="J218" s="487"/>
      <c r="K218" s="487"/>
      <c r="L218" s="487"/>
      <c r="M218" s="487"/>
      <c r="N218" s="488"/>
      <c r="O218" s="88"/>
    </row>
    <row r="219" spans="1:15" s="98" customFormat="1" ht="12.9" customHeight="1">
      <c r="A219" s="100"/>
      <c r="B219" s="105">
        <v>2</v>
      </c>
      <c r="C219" s="106"/>
      <c r="D219" s="480" t="s">
        <v>416</v>
      </c>
      <c r="E219" s="481"/>
      <c r="F219" s="481"/>
      <c r="G219" s="481"/>
      <c r="H219" s="481"/>
      <c r="I219" s="481"/>
      <c r="J219" s="481"/>
      <c r="K219" s="481"/>
      <c r="L219" s="481"/>
      <c r="M219" s="481"/>
      <c r="N219" s="489"/>
      <c r="O219" s="88"/>
    </row>
    <row r="220" spans="1:15" s="98" customFormat="1" ht="12.9" customHeight="1">
      <c r="A220" s="100"/>
      <c r="B220" s="348"/>
      <c r="C220" s="444"/>
      <c r="D220" s="474" t="s">
        <v>282</v>
      </c>
      <c r="E220" s="475"/>
      <c r="F220" s="475"/>
      <c r="G220" s="475"/>
      <c r="H220" s="475"/>
      <c r="I220" s="475"/>
      <c r="J220" s="475"/>
      <c r="K220" s="475"/>
      <c r="L220" s="475"/>
      <c r="M220" s="475"/>
      <c r="N220" s="476"/>
      <c r="O220" s="88"/>
    </row>
    <row r="221" spans="1:15" s="98" customFormat="1" ht="12.9" customHeight="1">
      <c r="A221" s="100"/>
      <c r="B221" s="348">
        <v>3</v>
      </c>
      <c r="C221" s="445"/>
      <c r="D221" s="490" t="s">
        <v>281</v>
      </c>
      <c r="E221" s="491"/>
      <c r="F221" s="491"/>
      <c r="G221" s="491"/>
      <c r="H221" s="491"/>
      <c r="I221" s="491"/>
      <c r="J221" s="491"/>
      <c r="K221" s="491"/>
      <c r="L221" s="491"/>
      <c r="M221" s="491"/>
      <c r="N221" s="492"/>
      <c r="O221" s="88"/>
    </row>
    <row r="222" spans="1:15" s="98" customFormat="1" ht="12.9" customHeight="1">
      <c r="A222" s="100"/>
      <c r="B222" s="349"/>
      <c r="C222" s="446"/>
      <c r="D222" s="493" t="s">
        <v>227</v>
      </c>
      <c r="E222" s="494"/>
      <c r="F222" s="494"/>
      <c r="G222" s="494"/>
      <c r="H222" s="494"/>
      <c r="I222" s="494"/>
      <c r="J222" s="494"/>
      <c r="K222" s="494"/>
      <c r="L222" s="494"/>
      <c r="M222" s="494"/>
      <c r="N222" s="495"/>
      <c r="O222" s="88"/>
    </row>
    <row r="223" spans="1:15" s="98" customFormat="1" ht="12.9" customHeight="1">
      <c r="A223" s="100"/>
      <c r="B223" s="347"/>
      <c r="C223" s="444"/>
      <c r="D223" s="449" t="s">
        <v>270</v>
      </c>
      <c r="E223" s="450"/>
      <c r="F223" s="450"/>
      <c r="G223" s="450"/>
      <c r="H223" s="450"/>
      <c r="I223" s="450"/>
      <c r="J223" s="450"/>
      <c r="K223" s="450"/>
      <c r="L223" s="450"/>
      <c r="M223" s="450"/>
      <c r="N223" s="451"/>
      <c r="O223" s="88"/>
    </row>
    <row r="224" spans="1:15" s="98" customFormat="1" ht="12.9" customHeight="1">
      <c r="A224" s="100"/>
      <c r="B224" s="348"/>
      <c r="C224" s="445"/>
      <c r="D224" s="493" t="s">
        <v>271</v>
      </c>
      <c r="E224" s="494"/>
      <c r="F224" s="494"/>
      <c r="G224" s="494"/>
      <c r="H224" s="494"/>
      <c r="I224" s="494"/>
      <c r="J224" s="494"/>
      <c r="K224" s="494"/>
      <c r="L224" s="494"/>
      <c r="M224" s="494"/>
      <c r="N224" s="107"/>
      <c r="O224" s="88"/>
    </row>
    <row r="225" spans="1:15" s="98" customFormat="1" ht="12.9" customHeight="1">
      <c r="A225" s="100"/>
      <c r="B225" s="348"/>
      <c r="C225" s="445"/>
      <c r="D225" s="108" t="s">
        <v>209</v>
      </c>
      <c r="E225" s="53"/>
      <c r="F225" s="53"/>
      <c r="G225" s="53"/>
      <c r="H225" s="53"/>
      <c r="I225" s="53"/>
      <c r="J225" s="53"/>
      <c r="K225" s="53"/>
      <c r="L225" s="88"/>
      <c r="M225" s="337"/>
      <c r="N225" s="107"/>
      <c r="O225" s="88"/>
    </row>
    <row r="226" spans="1:15" s="98" customFormat="1" ht="12.9" customHeight="1">
      <c r="A226" s="100"/>
      <c r="B226" s="348"/>
      <c r="C226" s="445"/>
      <c r="D226" s="544" t="s">
        <v>141</v>
      </c>
      <c r="E226" s="455"/>
      <c r="F226" s="455"/>
      <c r="G226" s="455"/>
      <c r="H226" s="455"/>
      <c r="I226" s="455"/>
      <c r="J226" s="455"/>
      <c r="K226" s="455"/>
      <c r="L226" s="455"/>
      <c r="M226" s="455"/>
      <c r="N226" s="107"/>
      <c r="O226" s="88"/>
    </row>
    <row r="227" spans="1:15" s="98" customFormat="1" ht="12.9" customHeight="1">
      <c r="A227" s="100"/>
      <c r="B227" s="348"/>
      <c r="C227" s="445"/>
      <c r="D227" s="545" t="s">
        <v>142</v>
      </c>
      <c r="E227" s="456"/>
      <c r="F227" s="456"/>
      <c r="G227" s="456"/>
      <c r="H227" s="456"/>
      <c r="I227" s="456"/>
      <c r="J227" s="456"/>
      <c r="K227" s="456"/>
      <c r="L227" s="456"/>
      <c r="M227" s="456"/>
      <c r="N227" s="107"/>
      <c r="O227" s="88"/>
    </row>
    <row r="228" spans="1:15" s="98" customFormat="1" ht="12.9" customHeight="1">
      <c r="A228" s="100"/>
      <c r="B228" s="348"/>
      <c r="C228" s="445"/>
      <c r="D228" s="544" t="s">
        <v>205</v>
      </c>
      <c r="E228" s="455"/>
      <c r="F228" s="455"/>
      <c r="G228" s="455"/>
      <c r="H228" s="455"/>
      <c r="I228" s="455"/>
      <c r="J228" s="455"/>
      <c r="K228" s="455"/>
      <c r="L228" s="455"/>
      <c r="M228" s="455"/>
      <c r="N228" s="107"/>
      <c r="O228" s="88"/>
    </row>
    <row r="229" spans="1:15" s="98" customFormat="1" ht="12.9" customHeight="1">
      <c r="A229" s="100"/>
      <c r="B229" s="348">
        <v>4</v>
      </c>
      <c r="C229" s="445"/>
      <c r="D229" s="545" t="s">
        <v>143</v>
      </c>
      <c r="E229" s="456"/>
      <c r="F229" s="456"/>
      <c r="G229" s="456"/>
      <c r="H229" s="456"/>
      <c r="I229" s="456"/>
      <c r="J229" s="456"/>
      <c r="K229" s="456"/>
      <c r="L229" s="456"/>
      <c r="M229" s="456"/>
      <c r="N229" s="107"/>
      <c r="O229" s="88"/>
    </row>
    <row r="230" spans="1:15" s="98" customFormat="1" ht="12.9" customHeight="1">
      <c r="A230" s="100"/>
      <c r="B230" s="348"/>
      <c r="C230" s="445"/>
      <c r="D230" s="336" t="s">
        <v>228</v>
      </c>
      <c r="E230" s="337"/>
      <c r="F230" s="109"/>
      <c r="G230" s="53"/>
      <c r="H230" s="53"/>
      <c r="I230" s="53"/>
      <c r="J230" s="53"/>
      <c r="K230" s="53"/>
      <c r="L230" s="53"/>
      <c r="M230" s="337"/>
      <c r="N230" s="107"/>
      <c r="O230" s="88"/>
    </row>
    <row r="231" spans="1:15" s="98" customFormat="1" ht="12.9" customHeight="1">
      <c r="A231" s="100"/>
      <c r="B231" s="348"/>
      <c r="C231" s="445"/>
      <c r="D231" s="336"/>
      <c r="E231" s="108" t="s">
        <v>144</v>
      </c>
      <c r="F231" s="88"/>
      <c r="G231" s="53"/>
      <c r="H231" s="53"/>
      <c r="I231" s="53"/>
      <c r="J231" s="53"/>
      <c r="K231" s="53"/>
      <c r="L231" s="53"/>
      <c r="M231" s="337"/>
      <c r="N231" s="107"/>
      <c r="O231" s="88"/>
    </row>
    <row r="232" spans="1:15" s="98" customFormat="1" ht="12.9" customHeight="1">
      <c r="A232" s="100"/>
      <c r="B232" s="348"/>
      <c r="C232" s="445"/>
      <c r="D232" s="336"/>
      <c r="E232" s="53" t="s">
        <v>145</v>
      </c>
      <c r="F232" s="88"/>
      <c r="G232" s="53"/>
      <c r="H232" s="53"/>
      <c r="I232" s="53"/>
      <c r="J232" s="53"/>
      <c r="K232" s="53"/>
      <c r="L232" s="53"/>
      <c r="M232" s="337"/>
      <c r="N232" s="107"/>
      <c r="O232" s="88"/>
    </row>
    <row r="233" spans="1:15" s="98" customFormat="1" ht="12.9" customHeight="1">
      <c r="A233" s="100"/>
      <c r="B233" s="348"/>
      <c r="C233" s="445"/>
      <c r="D233" s="336"/>
      <c r="E233" s="455" t="s">
        <v>146</v>
      </c>
      <c r="F233" s="455"/>
      <c r="G233" s="455"/>
      <c r="H233" s="455"/>
      <c r="I233" s="455"/>
      <c r="J233" s="455"/>
      <c r="K233" s="455"/>
      <c r="L233" s="455"/>
      <c r="M233" s="455"/>
      <c r="N233" s="107"/>
      <c r="O233" s="88"/>
    </row>
    <row r="234" spans="1:15" s="98" customFormat="1" ht="12.9" customHeight="1">
      <c r="A234" s="100"/>
      <c r="B234" s="348"/>
      <c r="C234" s="445"/>
      <c r="D234" s="336"/>
      <c r="E234" s="456" t="s">
        <v>147</v>
      </c>
      <c r="F234" s="456"/>
      <c r="G234" s="456"/>
      <c r="H234" s="456"/>
      <c r="I234" s="456"/>
      <c r="J234" s="456"/>
      <c r="K234" s="456"/>
      <c r="L234" s="456"/>
      <c r="M234" s="456"/>
      <c r="N234" s="107"/>
      <c r="O234" s="88"/>
    </row>
    <row r="235" spans="1:15" s="98" customFormat="1" ht="12.9" customHeight="1">
      <c r="A235" s="100"/>
      <c r="B235" s="348"/>
      <c r="C235" s="445"/>
      <c r="D235" s="336"/>
      <c r="E235" s="108" t="s">
        <v>148</v>
      </c>
      <c r="F235" s="110"/>
      <c r="G235" s="88"/>
      <c r="H235" s="110"/>
      <c r="I235" s="110"/>
      <c r="J235" s="110"/>
      <c r="K235" s="110"/>
      <c r="L235" s="110"/>
      <c r="M235" s="111"/>
      <c r="N235" s="107"/>
      <c r="O235" s="88"/>
    </row>
    <row r="236" spans="1:15" s="98" customFormat="1" ht="12.9" customHeight="1">
      <c r="A236" s="100"/>
      <c r="B236" s="348"/>
      <c r="C236" s="445"/>
      <c r="D236" s="336"/>
      <c r="E236" s="53" t="s">
        <v>110</v>
      </c>
      <c r="F236" s="110"/>
      <c r="G236" s="88"/>
      <c r="H236" s="110"/>
      <c r="I236" s="110"/>
      <c r="J236" s="110"/>
      <c r="K236" s="110"/>
      <c r="L236" s="110"/>
      <c r="M236" s="111"/>
      <c r="N236" s="107"/>
      <c r="O236" s="88"/>
    </row>
    <row r="237" spans="1:15" s="98" customFormat="1" ht="12.9" customHeight="1">
      <c r="A237" s="100"/>
      <c r="B237" s="348"/>
      <c r="C237" s="445"/>
      <c r="D237" s="336" t="s">
        <v>279</v>
      </c>
      <c r="E237" s="53"/>
      <c r="F237" s="110"/>
      <c r="G237" s="88"/>
      <c r="H237" s="110"/>
      <c r="I237" s="110"/>
      <c r="J237" s="110"/>
      <c r="K237" s="110"/>
      <c r="L237" s="110"/>
      <c r="M237" s="111"/>
      <c r="N237" s="107"/>
      <c r="O237" s="88"/>
    </row>
    <row r="238" spans="1:15" s="98" customFormat="1" ht="12.9" customHeight="1">
      <c r="A238" s="100"/>
      <c r="B238" s="349"/>
      <c r="C238" s="446"/>
      <c r="D238" s="474" t="s">
        <v>280</v>
      </c>
      <c r="E238" s="475"/>
      <c r="F238" s="475"/>
      <c r="G238" s="475"/>
      <c r="H238" s="475"/>
      <c r="I238" s="475"/>
      <c r="J238" s="475"/>
      <c r="K238" s="475"/>
      <c r="L238" s="475"/>
      <c r="M238" s="475"/>
      <c r="N238" s="476"/>
      <c r="O238" s="88"/>
    </row>
    <row r="239" spans="1:15" s="98" customFormat="1" ht="12.9" customHeight="1">
      <c r="A239" s="100"/>
      <c r="B239" s="426">
        <v>5</v>
      </c>
      <c r="C239" s="444"/>
      <c r="D239" s="449" t="s">
        <v>266</v>
      </c>
      <c r="E239" s="450"/>
      <c r="F239" s="450"/>
      <c r="G239" s="450"/>
      <c r="H239" s="450"/>
      <c r="I239" s="450"/>
      <c r="J239" s="450"/>
      <c r="K239" s="450"/>
      <c r="L239" s="450"/>
      <c r="M239" s="450"/>
      <c r="N239" s="451"/>
      <c r="O239" s="88"/>
    </row>
    <row r="240" spans="1:15" s="98" customFormat="1" ht="12.9" customHeight="1">
      <c r="A240" s="100"/>
      <c r="B240" s="427"/>
      <c r="C240" s="445"/>
      <c r="D240" s="493" t="s">
        <v>229</v>
      </c>
      <c r="E240" s="494"/>
      <c r="F240" s="494"/>
      <c r="G240" s="494"/>
      <c r="H240" s="494"/>
      <c r="I240" s="494"/>
      <c r="J240" s="494"/>
      <c r="K240" s="494"/>
      <c r="L240" s="494"/>
      <c r="M240" s="494"/>
      <c r="N240" s="107"/>
      <c r="O240" s="88"/>
    </row>
    <row r="241" spans="1:15" s="98" customFormat="1" ht="12.9" customHeight="1">
      <c r="A241" s="100"/>
      <c r="B241" s="427"/>
      <c r="C241" s="445"/>
      <c r="D241" s="336"/>
      <c r="E241" s="554" t="s">
        <v>256</v>
      </c>
      <c r="F241" s="555"/>
      <c r="G241" s="555"/>
      <c r="H241" s="555"/>
      <c r="I241" s="555"/>
      <c r="J241" s="555"/>
      <c r="K241" s="555"/>
      <c r="L241" s="555"/>
      <c r="M241" s="555"/>
      <c r="N241" s="107"/>
      <c r="O241" s="88"/>
    </row>
    <row r="242" spans="1:15" s="98" customFormat="1" ht="12.9" customHeight="1">
      <c r="A242" s="100"/>
      <c r="B242" s="428"/>
      <c r="C242" s="446"/>
      <c r="D242" s="336"/>
      <c r="E242" s="463" t="s">
        <v>257</v>
      </c>
      <c r="F242" s="464"/>
      <c r="G242" s="464"/>
      <c r="H242" s="464"/>
      <c r="I242" s="464"/>
      <c r="J242" s="464"/>
      <c r="K242" s="464"/>
      <c r="L242" s="464"/>
      <c r="M242" s="464"/>
      <c r="N242" s="112"/>
      <c r="O242" s="88"/>
    </row>
    <row r="243" spans="1:15" s="98" customFormat="1" ht="12.9" customHeight="1">
      <c r="A243" s="100"/>
      <c r="B243" s="347">
        <v>6</v>
      </c>
      <c r="C243" s="113"/>
      <c r="D243" s="480" t="s">
        <v>230</v>
      </c>
      <c r="E243" s="481"/>
      <c r="F243" s="481"/>
      <c r="G243" s="481"/>
      <c r="H243" s="481"/>
      <c r="I243" s="481"/>
      <c r="J243" s="481"/>
      <c r="K243" s="481"/>
      <c r="L243" s="481"/>
      <c r="M243" s="481"/>
      <c r="N243" s="114"/>
      <c r="O243" s="88"/>
    </row>
    <row r="244" spans="1:15" s="116" customFormat="1" ht="14.25" customHeight="1">
      <c r="A244" s="353"/>
      <c r="B244" s="426">
        <v>7</v>
      </c>
      <c r="C244" s="444"/>
      <c r="D244" s="449" t="s">
        <v>111</v>
      </c>
      <c r="E244" s="450"/>
      <c r="F244" s="450"/>
      <c r="G244" s="450"/>
      <c r="H244" s="450"/>
      <c r="I244" s="450"/>
      <c r="J244" s="450"/>
      <c r="K244" s="450"/>
      <c r="L244" s="450"/>
      <c r="M244" s="450"/>
      <c r="N244" s="115"/>
      <c r="O244" s="3"/>
    </row>
    <row r="245" spans="1:15" s="98" customFormat="1" ht="12.75" customHeight="1">
      <c r="A245" s="100"/>
      <c r="B245" s="428"/>
      <c r="C245" s="446"/>
      <c r="D245" s="482" t="s">
        <v>231</v>
      </c>
      <c r="E245" s="483"/>
      <c r="F245" s="483"/>
      <c r="G245" s="483"/>
      <c r="H245" s="483"/>
      <c r="I245" s="483"/>
      <c r="J245" s="483"/>
      <c r="K245" s="483"/>
      <c r="L245" s="483"/>
      <c r="M245" s="483"/>
      <c r="N245" s="112"/>
      <c r="O245" s="88"/>
    </row>
    <row r="246" spans="1:15" s="98" customFormat="1" ht="12.9" customHeight="1">
      <c r="A246" s="100"/>
      <c r="B246" s="426">
        <v>8</v>
      </c>
      <c r="C246" s="444"/>
      <c r="D246" s="117" t="s">
        <v>112</v>
      </c>
      <c r="E246" s="352"/>
      <c r="F246" s="352"/>
      <c r="G246" s="118"/>
      <c r="H246" s="352"/>
      <c r="I246" s="352"/>
      <c r="J246" s="352"/>
      <c r="K246" s="352"/>
      <c r="L246" s="352"/>
      <c r="M246" s="352"/>
      <c r="N246" s="119"/>
      <c r="O246" s="88"/>
    </row>
    <row r="247" spans="1:15" s="98" customFormat="1" ht="12.9" customHeight="1">
      <c r="A247" s="100"/>
      <c r="B247" s="427"/>
      <c r="C247" s="445"/>
      <c r="D247" s="447" t="s">
        <v>113</v>
      </c>
      <c r="E247" s="448"/>
      <c r="F247" s="448"/>
      <c r="G247" s="448"/>
      <c r="H247" s="448"/>
      <c r="I247" s="448"/>
      <c r="J247" s="448"/>
      <c r="K247" s="448"/>
      <c r="L247" s="448"/>
      <c r="M247" s="448"/>
      <c r="N247" s="107"/>
      <c r="O247" s="88"/>
    </row>
    <row r="248" spans="1:15" s="98" customFormat="1" ht="12.9" customHeight="1">
      <c r="A248" s="100"/>
      <c r="B248" s="427"/>
      <c r="C248" s="445"/>
      <c r="D248" s="336"/>
      <c r="E248" s="395" t="s">
        <v>255</v>
      </c>
      <c r="F248" s="382"/>
      <c r="G248" s="382"/>
      <c r="H248" s="382"/>
      <c r="I248" s="382"/>
      <c r="J248" s="382"/>
      <c r="K248" s="382"/>
      <c r="L248" s="382"/>
      <c r="M248" s="382"/>
      <c r="N248" s="107"/>
      <c r="O248" s="88"/>
    </row>
    <row r="249" spans="1:15" s="98" customFormat="1" ht="12.9" customHeight="1">
      <c r="A249" s="100"/>
      <c r="B249" s="428"/>
      <c r="C249" s="446"/>
      <c r="D249" s="120"/>
      <c r="E249" s="121" t="s">
        <v>232</v>
      </c>
      <c r="F249" s="122"/>
      <c r="G249" s="122"/>
      <c r="H249" s="122"/>
      <c r="I249" s="122"/>
      <c r="J249" s="122"/>
      <c r="K249" s="122"/>
      <c r="L249" s="122"/>
      <c r="M249" s="123"/>
      <c r="N249" s="112"/>
      <c r="O249" s="88"/>
    </row>
    <row r="250" spans="1:15" s="98" customFormat="1" ht="12.9" customHeight="1">
      <c r="A250" s="100"/>
      <c r="B250" s="426">
        <v>9</v>
      </c>
      <c r="C250" s="444"/>
      <c r="D250" s="452" t="s">
        <v>252</v>
      </c>
      <c r="E250" s="453"/>
      <c r="F250" s="453"/>
      <c r="G250" s="453"/>
      <c r="H250" s="453"/>
      <c r="I250" s="453"/>
      <c r="J250" s="453"/>
      <c r="K250" s="453"/>
      <c r="L250" s="453"/>
      <c r="M250" s="453"/>
      <c r="N250" s="119"/>
      <c r="O250" s="88"/>
    </row>
    <row r="251" spans="1:15" s="98" customFormat="1" ht="12.9" customHeight="1">
      <c r="A251" s="100"/>
      <c r="B251" s="427"/>
      <c r="C251" s="445"/>
      <c r="D251" s="336" t="s">
        <v>233</v>
      </c>
      <c r="E251" s="338"/>
      <c r="F251" s="338"/>
      <c r="G251" s="53"/>
      <c r="H251" s="338"/>
      <c r="I251" s="338"/>
      <c r="J251" s="338"/>
      <c r="K251" s="338"/>
      <c r="L251" s="338"/>
      <c r="M251" s="338"/>
      <c r="N251" s="107"/>
      <c r="O251" s="88"/>
    </row>
    <row r="252" spans="1:15" s="98" customFormat="1" ht="12.9" customHeight="1">
      <c r="A252" s="100"/>
      <c r="B252" s="427"/>
      <c r="C252" s="445"/>
      <c r="D252" s="336"/>
      <c r="E252" s="455" t="s">
        <v>253</v>
      </c>
      <c r="F252" s="456"/>
      <c r="G252" s="456"/>
      <c r="H252" s="456"/>
      <c r="I252" s="456"/>
      <c r="J252" s="456"/>
      <c r="K252" s="456"/>
      <c r="L252" s="456"/>
      <c r="M252" s="456"/>
      <c r="N252" s="107"/>
      <c r="O252" s="88"/>
    </row>
    <row r="253" spans="1:15" s="98" customFormat="1" ht="12.9" customHeight="1">
      <c r="A253" s="100"/>
      <c r="B253" s="427"/>
      <c r="C253" s="445"/>
      <c r="D253" s="336"/>
      <c r="E253" s="108" t="s">
        <v>254</v>
      </c>
      <c r="F253" s="124"/>
      <c r="G253" s="100"/>
      <c r="H253" s="124"/>
      <c r="I253" s="124"/>
      <c r="J253" s="124"/>
      <c r="K253" s="124"/>
      <c r="L253" s="124"/>
      <c r="M253" s="338"/>
      <c r="N253" s="107"/>
      <c r="O253" s="88"/>
    </row>
    <row r="254" spans="1:15" s="98" customFormat="1" ht="12.9" customHeight="1" thickBot="1">
      <c r="A254" s="100"/>
      <c r="B254" s="437"/>
      <c r="C254" s="484"/>
      <c r="D254" s="125"/>
      <c r="E254" s="485" t="s">
        <v>225</v>
      </c>
      <c r="F254" s="485"/>
      <c r="G254" s="485"/>
      <c r="H254" s="485"/>
      <c r="I254" s="485"/>
      <c r="J254" s="485"/>
      <c r="K254" s="485"/>
      <c r="L254" s="485"/>
      <c r="M254" s="485"/>
      <c r="N254" s="126"/>
      <c r="O254" s="88"/>
    </row>
    <row r="255" spans="1:15" s="98" customFormat="1" ht="12.75" customHeight="1">
      <c r="A255" s="100"/>
      <c r="B255" s="102"/>
      <c r="C255" s="100"/>
      <c r="D255" s="101"/>
      <c r="E255" s="101"/>
      <c r="F255" s="100"/>
      <c r="G255" s="100"/>
      <c r="H255" s="100"/>
      <c r="I255" s="100"/>
      <c r="J255" s="100"/>
      <c r="K255" s="100"/>
      <c r="L255" s="100"/>
      <c r="M255" s="101"/>
      <c r="N255" s="107"/>
      <c r="O255" s="88"/>
    </row>
    <row r="256" spans="1:15" s="98" customFormat="1" ht="14.25" customHeight="1" thickBot="1">
      <c r="A256" s="100"/>
      <c r="B256" s="127" t="s">
        <v>114</v>
      </c>
      <c r="C256" s="128"/>
      <c r="D256" s="129"/>
      <c r="E256" s="129"/>
      <c r="F256" s="128"/>
      <c r="G256" s="128"/>
      <c r="H256" s="128"/>
      <c r="I256" s="128"/>
      <c r="J256" s="128"/>
      <c r="K256" s="128"/>
      <c r="L256" s="128"/>
      <c r="M256" s="129"/>
      <c r="N256" s="5"/>
      <c r="O256" s="88"/>
    </row>
    <row r="257" spans="1:15" ht="12.9" customHeight="1">
      <c r="A257" s="1"/>
      <c r="B257" s="477">
        <v>10</v>
      </c>
      <c r="C257" s="130"/>
      <c r="D257" s="478" t="s">
        <v>37</v>
      </c>
      <c r="E257" s="479"/>
      <c r="F257" s="479"/>
      <c r="G257" s="479"/>
      <c r="H257" s="479"/>
      <c r="I257" s="479"/>
      <c r="J257" s="479"/>
      <c r="K257" s="479"/>
      <c r="L257" s="479"/>
      <c r="M257" s="479"/>
      <c r="N257" s="131"/>
    </row>
    <row r="258" spans="1:15" ht="12.9" customHeight="1">
      <c r="A258" s="1"/>
      <c r="B258" s="427"/>
      <c r="C258" s="351"/>
      <c r="D258" s="474" t="s">
        <v>267</v>
      </c>
      <c r="E258" s="475"/>
      <c r="F258" s="475"/>
      <c r="G258" s="475"/>
      <c r="H258" s="475"/>
      <c r="I258" s="475"/>
      <c r="J258" s="475"/>
      <c r="K258" s="475"/>
      <c r="L258" s="475"/>
      <c r="M258" s="475"/>
      <c r="N258" s="132"/>
    </row>
    <row r="259" spans="1:15" ht="12.9" customHeight="1">
      <c r="A259" s="1"/>
      <c r="B259" s="427"/>
      <c r="C259" s="351"/>
      <c r="D259" s="474" t="s">
        <v>56</v>
      </c>
      <c r="E259" s="475"/>
      <c r="F259" s="475"/>
      <c r="G259" s="475"/>
      <c r="H259" s="475"/>
      <c r="I259" s="475"/>
      <c r="J259" s="475"/>
      <c r="K259" s="475"/>
      <c r="L259" s="475"/>
      <c r="M259" s="475"/>
      <c r="N259" s="132"/>
    </row>
    <row r="260" spans="1:15" ht="12.9" customHeight="1">
      <c r="A260" s="1"/>
      <c r="B260" s="427"/>
      <c r="C260" s="351"/>
      <c r="D260" s="336" t="s">
        <v>234</v>
      </c>
      <c r="E260" s="337"/>
      <c r="F260" s="337"/>
      <c r="G260" s="337"/>
      <c r="H260" s="337"/>
      <c r="I260" s="337"/>
      <c r="J260" s="337"/>
      <c r="K260" s="337"/>
      <c r="L260" s="57"/>
      <c r="M260" s="57"/>
      <c r="N260" s="132"/>
    </row>
    <row r="261" spans="1:15" ht="12.9" customHeight="1">
      <c r="A261" s="1"/>
      <c r="B261" s="427"/>
      <c r="C261" s="351"/>
      <c r="D261" s="133"/>
      <c r="E261" s="455" t="s">
        <v>250</v>
      </c>
      <c r="F261" s="456"/>
      <c r="G261" s="456"/>
      <c r="H261" s="456"/>
      <c r="I261" s="456"/>
      <c r="J261" s="456"/>
      <c r="K261" s="456"/>
      <c r="L261" s="456"/>
      <c r="M261" s="456"/>
      <c r="N261" s="132"/>
    </row>
    <row r="262" spans="1:15" ht="12.9" customHeight="1">
      <c r="A262" s="1"/>
      <c r="B262" s="427"/>
      <c r="C262" s="351"/>
      <c r="D262" s="133"/>
      <c r="E262" s="108" t="s">
        <v>490</v>
      </c>
      <c r="F262" s="53"/>
      <c r="G262" s="53"/>
      <c r="H262" s="53"/>
      <c r="I262" s="53"/>
      <c r="J262" s="53"/>
      <c r="K262" s="53"/>
      <c r="L262" s="53"/>
      <c r="M262" s="53"/>
      <c r="N262" s="132"/>
    </row>
    <row r="263" spans="1:15" ht="12.9" customHeight="1">
      <c r="A263" s="1"/>
      <c r="B263" s="427"/>
      <c r="C263" s="351"/>
      <c r="D263" s="133"/>
      <c r="E263" s="435" t="s">
        <v>259</v>
      </c>
      <c r="F263" s="435"/>
      <c r="G263" s="435"/>
      <c r="H263" s="435"/>
      <c r="I263" s="435"/>
      <c r="J263" s="435"/>
      <c r="K263" s="435"/>
      <c r="L263" s="435"/>
      <c r="M263" s="435"/>
      <c r="N263" s="134"/>
    </row>
    <row r="264" spans="1:15" ht="12.9" customHeight="1">
      <c r="A264" s="1"/>
      <c r="B264" s="426">
        <v>11</v>
      </c>
      <c r="C264" s="457"/>
      <c r="D264" s="459" t="s">
        <v>491</v>
      </c>
      <c r="E264" s="460"/>
      <c r="F264" s="460"/>
      <c r="G264" s="460"/>
      <c r="H264" s="460"/>
      <c r="I264" s="460"/>
      <c r="J264" s="460"/>
      <c r="K264" s="460"/>
      <c r="L264" s="460"/>
      <c r="M264" s="460"/>
      <c r="N264" s="132"/>
    </row>
    <row r="265" spans="1:15" ht="12.9" customHeight="1">
      <c r="A265" s="1"/>
      <c r="B265" s="427"/>
      <c r="C265" s="458"/>
      <c r="D265" s="461" t="s">
        <v>470</v>
      </c>
      <c r="E265" s="462"/>
      <c r="F265" s="462"/>
      <c r="G265" s="462"/>
      <c r="H265" s="462"/>
      <c r="I265" s="462"/>
      <c r="J265" s="462"/>
      <c r="K265" s="462"/>
      <c r="L265" s="462"/>
      <c r="M265" s="462"/>
      <c r="N265" s="132"/>
    </row>
    <row r="266" spans="1:15" ht="12.9" customHeight="1">
      <c r="A266" s="1"/>
      <c r="B266" s="427"/>
      <c r="C266" s="458"/>
      <c r="D266" s="339"/>
      <c r="E266" s="455" t="s">
        <v>250</v>
      </c>
      <c r="F266" s="456"/>
      <c r="G266" s="456"/>
      <c r="H266" s="456"/>
      <c r="I266" s="456"/>
      <c r="J266" s="456"/>
      <c r="K266" s="456"/>
      <c r="L266" s="456"/>
      <c r="M266" s="456"/>
      <c r="N266" s="132"/>
    </row>
    <row r="267" spans="1:15" ht="12.9" customHeight="1">
      <c r="A267" s="1"/>
      <c r="B267" s="427"/>
      <c r="C267" s="458"/>
      <c r="D267" s="339"/>
      <c r="E267" s="108" t="s">
        <v>490</v>
      </c>
      <c r="F267" s="53"/>
      <c r="G267" s="53"/>
      <c r="H267" s="53"/>
      <c r="I267" s="53"/>
      <c r="J267" s="53"/>
      <c r="K267" s="53"/>
      <c r="L267" s="53"/>
      <c r="M267" s="53"/>
      <c r="N267" s="132"/>
    </row>
    <row r="268" spans="1:15" ht="15" customHeight="1">
      <c r="A268" s="1"/>
      <c r="B268" s="427"/>
      <c r="C268" s="458"/>
      <c r="D268" s="339"/>
      <c r="E268" s="435" t="s">
        <v>259</v>
      </c>
      <c r="F268" s="435"/>
      <c r="G268" s="435"/>
      <c r="H268" s="435"/>
      <c r="I268" s="435"/>
      <c r="J268" s="435"/>
      <c r="K268" s="435"/>
      <c r="L268" s="435"/>
      <c r="M268" s="435"/>
      <c r="N268" s="132"/>
    </row>
    <row r="269" spans="1:15" ht="12.9" customHeight="1">
      <c r="A269" s="1"/>
      <c r="B269" s="426">
        <v>12</v>
      </c>
      <c r="C269" s="429"/>
      <c r="D269" s="452" t="s">
        <v>188</v>
      </c>
      <c r="E269" s="453"/>
      <c r="F269" s="453"/>
      <c r="G269" s="453"/>
      <c r="H269" s="453"/>
      <c r="I269" s="453"/>
      <c r="J269" s="453"/>
      <c r="K269" s="453"/>
      <c r="L269" s="453"/>
      <c r="M269" s="453"/>
      <c r="N269" s="135"/>
    </row>
    <row r="270" spans="1:15" ht="12.9" customHeight="1">
      <c r="A270" s="1"/>
      <c r="B270" s="427"/>
      <c r="C270" s="430"/>
      <c r="D270" s="447" t="s">
        <v>292</v>
      </c>
      <c r="E270" s="454"/>
      <c r="F270" s="454"/>
      <c r="G270" s="454"/>
      <c r="H270" s="454"/>
      <c r="I270" s="454"/>
      <c r="J270" s="454"/>
      <c r="K270" s="454"/>
      <c r="L270" s="454"/>
      <c r="M270" s="337"/>
      <c r="N270" s="132"/>
    </row>
    <row r="271" spans="1:15" ht="12.9" customHeight="1">
      <c r="A271" s="1"/>
      <c r="B271" s="427"/>
      <c r="C271" s="430"/>
      <c r="D271" s="350"/>
      <c r="E271" s="455" t="s">
        <v>251</v>
      </c>
      <c r="F271" s="456"/>
      <c r="G271" s="456"/>
      <c r="H271" s="456"/>
      <c r="I271" s="456"/>
      <c r="J271" s="456"/>
      <c r="K271" s="456"/>
      <c r="L271" s="456"/>
      <c r="M271" s="456"/>
      <c r="N271" s="132"/>
    </row>
    <row r="272" spans="1:15" ht="12.9" customHeight="1">
      <c r="A272" s="1"/>
      <c r="B272" s="427"/>
      <c r="C272" s="430"/>
      <c r="D272" s="350"/>
      <c r="E272" s="456" t="s">
        <v>210</v>
      </c>
      <c r="F272" s="456"/>
      <c r="G272" s="456"/>
      <c r="H272" s="456"/>
      <c r="I272" s="456"/>
      <c r="J272" s="456"/>
      <c r="K272" s="456"/>
      <c r="L272" s="456"/>
      <c r="M272" s="456"/>
      <c r="N272" s="132"/>
      <c r="O272" s="136"/>
    </row>
    <row r="273" spans="1:15" ht="12.9" customHeight="1">
      <c r="A273" s="1"/>
      <c r="B273" s="427"/>
      <c r="C273" s="430"/>
      <c r="D273" s="350"/>
      <c r="E273" s="108" t="s">
        <v>490</v>
      </c>
      <c r="F273" s="108"/>
      <c r="G273" s="108"/>
      <c r="H273" s="108"/>
      <c r="I273" s="108"/>
      <c r="J273" s="108"/>
      <c r="K273" s="108"/>
      <c r="L273" s="108"/>
      <c r="M273" s="108"/>
      <c r="N273" s="132"/>
    </row>
    <row r="274" spans="1:15" ht="17.25" customHeight="1">
      <c r="A274" s="1"/>
      <c r="B274" s="427"/>
      <c r="C274" s="430"/>
      <c r="D274" s="350"/>
      <c r="E274" s="435" t="s">
        <v>258</v>
      </c>
      <c r="F274" s="435"/>
      <c r="G274" s="435"/>
      <c r="H274" s="435"/>
      <c r="I274" s="435"/>
      <c r="J274" s="435"/>
      <c r="K274" s="435"/>
      <c r="L274" s="435"/>
      <c r="M274" s="435"/>
      <c r="N274" s="134"/>
    </row>
    <row r="275" spans="1:15" ht="12.9" customHeight="1">
      <c r="B275" s="426">
        <v>13</v>
      </c>
      <c r="C275" s="429"/>
      <c r="D275" s="432" t="s">
        <v>287</v>
      </c>
      <c r="E275" s="433"/>
      <c r="F275" s="433"/>
      <c r="G275" s="433"/>
      <c r="H275" s="433"/>
      <c r="I275" s="433"/>
      <c r="J275" s="433"/>
      <c r="K275" s="433"/>
      <c r="L275" s="433"/>
      <c r="M275" s="433"/>
      <c r="N275" s="137"/>
    </row>
    <row r="276" spans="1:15" ht="12.9" customHeight="1">
      <c r="B276" s="427"/>
      <c r="C276" s="430"/>
      <c r="D276" s="138"/>
      <c r="E276" s="434" t="s">
        <v>268</v>
      </c>
      <c r="F276" s="435"/>
      <c r="G276" s="435"/>
      <c r="H276" s="435"/>
      <c r="I276" s="435"/>
      <c r="J276" s="435"/>
      <c r="K276" s="435"/>
      <c r="L276" s="435"/>
      <c r="M276" s="435"/>
      <c r="N276" s="137"/>
    </row>
    <row r="277" spans="1:15" ht="12.9" customHeight="1">
      <c r="B277" s="428"/>
      <c r="C277" s="431"/>
      <c r="D277" s="139"/>
      <c r="E277" s="436" t="s">
        <v>246</v>
      </c>
      <c r="F277" s="436"/>
      <c r="G277" s="436"/>
      <c r="H277" s="436"/>
      <c r="I277" s="436"/>
      <c r="J277" s="436"/>
      <c r="K277" s="436"/>
      <c r="L277" s="436"/>
      <c r="M277" s="436"/>
      <c r="N277" s="137"/>
    </row>
    <row r="278" spans="1:15" ht="12.9" customHeight="1">
      <c r="B278" s="426">
        <v>14</v>
      </c>
      <c r="C278" s="438"/>
      <c r="D278" s="440" t="s">
        <v>202</v>
      </c>
      <c r="E278" s="440"/>
      <c r="F278" s="440"/>
      <c r="G278" s="440"/>
      <c r="H278" s="440"/>
      <c r="I278" s="440"/>
      <c r="J278" s="440"/>
      <c r="K278" s="440"/>
      <c r="L278" s="440"/>
      <c r="M278" s="441"/>
      <c r="N278" s="140"/>
      <c r="O278" s="136"/>
    </row>
    <row r="279" spans="1:15" ht="12.9" customHeight="1" thickBot="1">
      <c r="B279" s="437"/>
      <c r="C279" s="439"/>
      <c r="D279" s="442" t="s">
        <v>388</v>
      </c>
      <c r="E279" s="442"/>
      <c r="F279" s="442"/>
      <c r="G279" s="442"/>
      <c r="H279" s="442"/>
      <c r="I279" s="442"/>
      <c r="J279" s="442"/>
      <c r="K279" s="442"/>
      <c r="L279" s="442"/>
      <c r="M279" s="443"/>
      <c r="N279" s="141"/>
    </row>
    <row r="280" spans="1:15" ht="5.25" customHeight="1"/>
  </sheetData>
  <sheetProtection password="CF69" sheet="1" formatCells="0"/>
  <mergeCells count="347">
    <mergeCell ref="M166:N166"/>
    <mergeCell ref="B166:C166"/>
    <mergeCell ref="B163:C163"/>
    <mergeCell ref="D161:K161"/>
    <mergeCell ref="D159:K159"/>
    <mergeCell ref="D160:K160"/>
    <mergeCell ref="D164:K164"/>
    <mergeCell ref="D163:K163"/>
    <mergeCell ref="D166:K166"/>
    <mergeCell ref="B140:M140"/>
    <mergeCell ref="B154:M154"/>
    <mergeCell ref="M131:N131"/>
    <mergeCell ref="M159:N159"/>
    <mergeCell ref="M160:N160"/>
    <mergeCell ref="D165:K165"/>
    <mergeCell ref="M161:N161"/>
    <mergeCell ref="M162:N162"/>
    <mergeCell ref="M163:N163"/>
    <mergeCell ref="M164:N164"/>
    <mergeCell ref="M165:N165"/>
    <mergeCell ref="B158:C158"/>
    <mergeCell ref="M158:N158"/>
    <mergeCell ref="D158:K158"/>
    <mergeCell ref="B156:M156"/>
    <mergeCell ref="B159:C159"/>
    <mergeCell ref="B160:C160"/>
    <mergeCell ref="F84:L84"/>
    <mergeCell ref="F79:L79"/>
    <mergeCell ref="F81:L81"/>
    <mergeCell ref="M120:N120"/>
    <mergeCell ref="D123:F123"/>
    <mergeCell ref="B121:C121"/>
    <mergeCell ref="D121:F121"/>
    <mergeCell ref="G121:L121"/>
    <mergeCell ref="G118:L118"/>
    <mergeCell ref="C19:M19"/>
    <mergeCell ref="C21:M21"/>
    <mergeCell ref="C22:M22"/>
    <mergeCell ref="C53:M53"/>
    <mergeCell ref="C58:M58"/>
    <mergeCell ref="C57:M57"/>
    <mergeCell ref="C52:M52"/>
    <mergeCell ref="C47:M47"/>
    <mergeCell ref="M121:N121"/>
    <mergeCell ref="B75:C75"/>
    <mergeCell ref="B76:C78"/>
    <mergeCell ref="D76:E78"/>
    <mergeCell ref="D75:E75"/>
    <mergeCell ref="B97:C103"/>
    <mergeCell ref="D97:E103"/>
    <mergeCell ref="D116:F116"/>
    <mergeCell ref="D117:F119"/>
    <mergeCell ref="B120:C120"/>
    <mergeCell ref="G116:L116"/>
    <mergeCell ref="G117:L117"/>
    <mergeCell ref="G120:L120"/>
    <mergeCell ref="D120:F120"/>
    <mergeCell ref="B117:C119"/>
    <mergeCell ref="M117:N117"/>
    <mergeCell ref="C71:J71"/>
    <mergeCell ref="F43:M43"/>
    <mergeCell ref="C4:M4"/>
    <mergeCell ref="C7:M7"/>
    <mergeCell ref="C10:M10"/>
    <mergeCell ref="C11:M11"/>
    <mergeCell ref="G26:M26"/>
    <mergeCell ref="G25:M25"/>
    <mergeCell ref="G29:M29"/>
    <mergeCell ref="G27:M27"/>
    <mergeCell ref="J39:M39"/>
    <mergeCell ref="C36:M36"/>
    <mergeCell ref="G34:M34"/>
    <mergeCell ref="C62:M62"/>
    <mergeCell ref="C65:M65"/>
    <mergeCell ref="C64:M64"/>
    <mergeCell ref="J40:M40"/>
    <mergeCell ref="C49:M49"/>
    <mergeCell ref="C42:M42"/>
    <mergeCell ref="F44:M44"/>
    <mergeCell ref="C12:M12"/>
    <mergeCell ref="C13:M13"/>
    <mergeCell ref="C14:M14"/>
    <mergeCell ref="G24:M24"/>
    <mergeCell ref="C70:M70"/>
    <mergeCell ref="C67:M67"/>
    <mergeCell ref="C68:M68"/>
    <mergeCell ref="C69:M69"/>
    <mergeCell ref="C50:M50"/>
    <mergeCell ref="C51:M51"/>
    <mergeCell ref="C54:M54"/>
    <mergeCell ref="C61:N61"/>
    <mergeCell ref="C59:M59"/>
    <mergeCell ref="C56:M56"/>
    <mergeCell ref="F75:L75"/>
    <mergeCell ref="F76:L76"/>
    <mergeCell ref="F77:L77"/>
    <mergeCell ref="F78:L78"/>
    <mergeCell ref="B116:C116"/>
    <mergeCell ref="F82:L82"/>
    <mergeCell ref="F86:L86"/>
    <mergeCell ref="F87:L87"/>
    <mergeCell ref="F90:L90"/>
    <mergeCell ref="F97:L97"/>
    <mergeCell ref="B110:C111"/>
    <mergeCell ref="D110:E111"/>
    <mergeCell ref="B109:C109"/>
    <mergeCell ref="D109:E109"/>
    <mergeCell ref="F109:L109"/>
    <mergeCell ref="F83:L83"/>
    <mergeCell ref="F95:L95"/>
    <mergeCell ref="F91:L91"/>
    <mergeCell ref="F103:L103"/>
    <mergeCell ref="F88:L88"/>
    <mergeCell ref="F80:L80"/>
    <mergeCell ref="F85:L85"/>
    <mergeCell ref="D79:E96"/>
    <mergeCell ref="B79:C96"/>
    <mergeCell ref="B125:C125"/>
    <mergeCell ref="G129:L129"/>
    <mergeCell ref="G125:L125"/>
    <mergeCell ref="G122:L122"/>
    <mergeCell ref="D125:F125"/>
    <mergeCell ref="B127:C127"/>
    <mergeCell ref="D127:F127"/>
    <mergeCell ref="B122:C122"/>
    <mergeCell ref="D124:F124"/>
    <mergeCell ref="G124:L124"/>
    <mergeCell ref="G123:L123"/>
    <mergeCell ref="B124:C124"/>
    <mergeCell ref="D122:F122"/>
    <mergeCell ref="B129:C129"/>
    <mergeCell ref="D129:F129"/>
    <mergeCell ref="B123:C123"/>
    <mergeCell ref="M129:N129"/>
    <mergeCell ref="M130:N130"/>
    <mergeCell ref="B126:C126"/>
    <mergeCell ref="D126:F126"/>
    <mergeCell ref="G127:L127"/>
    <mergeCell ref="D130:F130"/>
    <mergeCell ref="D132:F133"/>
    <mergeCell ref="H133:L133"/>
    <mergeCell ref="G132:L132"/>
    <mergeCell ref="G131:L131"/>
    <mergeCell ref="B130:C130"/>
    <mergeCell ref="D131:F131"/>
    <mergeCell ref="M132:N133"/>
    <mergeCell ref="G130:L130"/>
    <mergeCell ref="M127:N127"/>
    <mergeCell ref="B128:C128"/>
    <mergeCell ref="D128:F128"/>
    <mergeCell ref="G128:L128"/>
    <mergeCell ref="M128:N128"/>
    <mergeCell ref="B132:C133"/>
    <mergeCell ref="B131:C131"/>
    <mergeCell ref="M126:N126"/>
    <mergeCell ref="G126:L126"/>
    <mergeCell ref="M175:N175"/>
    <mergeCell ref="B167:C167"/>
    <mergeCell ref="D167:K167"/>
    <mergeCell ref="B171:C171"/>
    <mergeCell ref="D171:K171"/>
    <mergeCell ref="M172:N172"/>
    <mergeCell ref="B173:C173"/>
    <mergeCell ref="D170:K170"/>
    <mergeCell ref="B169:C169"/>
    <mergeCell ref="D175:K175"/>
    <mergeCell ref="B172:C172"/>
    <mergeCell ref="M167:N167"/>
    <mergeCell ref="M168:N168"/>
    <mergeCell ref="M169:N169"/>
    <mergeCell ref="M173:N173"/>
    <mergeCell ref="M174:N174"/>
    <mergeCell ref="B168:C168"/>
    <mergeCell ref="B175:C175"/>
    <mergeCell ref="D173:K173"/>
    <mergeCell ref="D168:K168"/>
    <mergeCell ref="D174:K174"/>
    <mergeCell ref="D169:K169"/>
    <mergeCell ref="M171:N171"/>
    <mergeCell ref="M170:N170"/>
    <mergeCell ref="B207:C207"/>
    <mergeCell ref="B206:C206"/>
    <mergeCell ref="D205:I205"/>
    <mergeCell ref="B204:C204"/>
    <mergeCell ref="D203:I203"/>
    <mergeCell ref="D204:I204"/>
    <mergeCell ref="B205:C205"/>
    <mergeCell ref="D190:G190"/>
    <mergeCell ref="H190:L190"/>
    <mergeCell ref="C193:M193"/>
    <mergeCell ref="H191:L191"/>
    <mergeCell ref="B194:M194"/>
    <mergeCell ref="B197:C197"/>
    <mergeCell ref="D197:E197"/>
    <mergeCell ref="J203:K203"/>
    <mergeCell ref="J205:K205"/>
    <mergeCell ref="J207:K207"/>
    <mergeCell ref="D207:I207"/>
    <mergeCell ref="M176:N176"/>
    <mergeCell ref="D176:K176"/>
    <mergeCell ref="D240:M240"/>
    <mergeCell ref="E241:M241"/>
    <mergeCell ref="B203:C203"/>
    <mergeCell ref="M180:N180"/>
    <mergeCell ref="M179:N179"/>
    <mergeCell ref="M178:N178"/>
    <mergeCell ref="J206:K206"/>
    <mergeCell ref="H188:L188"/>
    <mergeCell ref="D185:G185"/>
    <mergeCell ref="D177:K177"/>
    <mergeCell ref="D178:K178"/>
    <mergeCell ref="D206:I206"/>
    <mergeCell ref="J204:K204"/>
    <mergeCell ref="B195:M196"/>
    <mergeCell ref="B192:C192"/>
    <mergeCell ref="D192:G192"/>
    <mergeCell ref="H192:L192"/>
    <mergeCell ref="D188:G188"/>
    <mergeCell ref="B180:C180"/>
    <mergeCell ref="B191:C191"/>
    <mergeCell ref="B184:C184"/>
    <mergeCell ref="D184:G184"/>
    <mergeCell ref="C223:C238"/>
    <mergeCell ref="D223:N223"/>
    <mergeCell ref="D224:M224"/>
    <mergeCell ref="D226:M226"/>
    <mergeCell ref="D227:M227"/>
    <mergeCell ref="D228:M228"/>
    <mergeCell ref="D229:M229"/>
    <mergeCell ref="E233:M233"/>
    <mergeCell ref="M177:N177"/>
    <mergeCell ref="H186:L186"/>
    <mergeCell ref="B187:C187"/>
    <mergeCell ref="D187:G187"/>
    <mergeCell ref="H187:L187"/>
    <mergeCell ref="B186:C186"/>
    <mergeCell ref="D186:G186"/>
    <mergeCell ref="B189:C189"/>
    <mergeCell ref="B188:C188"/>
    <mergeCell ref="D191:G191"/>
    <mergeCell ref="D180:K180"/>
    <mergeCell ref="H184:L184"/>
    <mergeCell ref="B179:C179"/>
    <mergeCell ref="D179:K179"/>
    <mergeCell ref="H189:L189"/>
    <mergeCell ref="B190:C190"/>
    <mergeCell ref="M125:N125"/>
    <mergeCell ref="F89:L89"/>
    <mergeCell ref="F100:L100"/>
    <mergeCell ref="F101:L101"/>
    <mergeCell ref="F102:L102"/>
    <mergeCell ref="F93:L93"/>
    <mergeCell ref="F110:L111"/>
    <mergeCell ref="F98:L98"/>
    <mergeCell ref="F94:L94"/>
    <mergeCell ref="M116:N116"/>
    <mergeCell ref="M124:N124"/>
    <mergeCell ref="M118:N119"/>
    <mergeCell ref="M122:N122"/>
    <mergeCell ref="M123:N123"/>
    <mergeCell ref="F96:L96"/>
    <mergeCell ref="F99:L99"/>
    <mergeCell ref="F92:L92"/>
    <mergeCell ref="B174:C174"/>
    <mergeCell ref="B182:L182"/>
    <mergeCell ref="B177:C177"/>
    <mergeCell ref="B176:C176"/>
    <mergeCell ref="B198:C199"/>
    <mergeCell ref="D198:E199"/>
    <mergeCell ref="F198:L199"/>
    <mergeCell ref="J202:K202"/>
    <mergeCell ref="B161:C161"/>
    <mergeCell ref="F197:L197"/>
    <mergeCell ref="D189:G189"/>
    <mergeCell ref="B162:C162"/>
    <mergeCell ref="D162:K162"/>
    <mergeCell ref="H185:L185"/>
    <mergeCell ref="B164:C164"/>
    <mergeCell ref="B165:C165"/>
    <mergeCell ref="B178:C178"/>
    <mergeCell ref="B170:C170"/>
    <mergeCell ref="D172:K172"/>
    <mergeCell ref="B185:C185"/>
    <mergeCell ref="D202:I202"/>
    <mergeCell ref="D218:N218"/>
    <mergeCell ref="D219:N219"/>
    <mergeCell ref="C220:C222"/>
    <mergeCell ref="D220:N220"/>
    <mergeCell ref="D221:N221"/>
    <mergeCell ref="D222:N222"/>
    <mergeCell ref="D210:I210"/>
    <mergeCell ref="J209:K209"/>
    <mergeCell ref="J210:K210"/>
    <mergeCell ref="B210:C210"/>
    <mergeCell ref="D209:I209"/>
    <mergeCell ref="D208:I208"/>
    <mergeCell ref="J208:K208"/>
    <mergeCell ref="B209:C209"/>
    <mergeCell ref="B208:C208"/>
    <mergeCell ref="B202:C202"/>
    <mergeCell ref="E234:M234"/>
    <mergeCell ref="D238:N238"/>
    <mergeCell ref="B257:B263"/>
    <mergeCell ref="D257:M257"/>
    <mergeCell ref="D258:M258"/>
    <mergeCell ref="D259:M259"/>
    <mergeCell ref="E261:M261"/>
    <mergeCell ref="E263:M263"/>
    <mergeCell ref="D243:M243"/>
    <mergeCell ref="B244:B245"/>
    <mergeCell ref="C244:C245"/>
    <mergeCell ref="D244:M244"/>
    <mergeCell ref="D245:M245"/>
    <mergeCell ref="B250:B254"/>
    <mergeCell ref="C250:C254"/>
    <mergeCell ref="D250:M250"/>
    <mergeCell ref="E252:M252"/>
    <mergeCell ref="E254:M254"/>
    <mergeCell ref="B246:B249"/>
    <mergeCell ref="C246:C249"/>
    <mergeCell ref="D247:M247"/>
    <mergeCell ref="B239:B242"/>
    <mergeCell ref="C239:C242"/>
    <mergeCell ref="D239:N239"/>
    <mergeCell ref="B269:B274"/>
    <mergeCell ref="C269:C274"/>
    <mergeCell ref="D269:M269"/>
    <mergeCell ref="D270:L270"/>
    <mergeCell ref="E271:M271"/>
    <mergeCell ref="E272:M272"/>
    <mergeCell ref="E274:M274"/>
    <mergeCell ref="B264:B268"/>
    <mergeCell ref="C264:C268"/>
    <mergeCell ref="D264:M264"/>
    <mergeCell ref="D265:M265"/>
    <mergeCell ref="E266:M266"/>
    <mergeCell ref="E268:M268"/>
    <mergeCell ref="E242:M242"/>
    <mergeCell ref="B275:B277"/>
    <mergeCell ref="C275:C277"/>
    <mergeCell ref="D275:M275"/>
    <mergeCell ref="E276:M276"/>
    <mergeCell ref="E277:M277"/>
    <mergeCell ref="B278:B279"/>
    <mergeCell ref="C278:C279"/>
    <mergeCell ref="D278:M278"/>
    <mergeCell ref="D279:M279"/>
  </mergeCells>
  <phoneticPr fontId="1"/>
  <pageMargins left="0.19685039370078741" right="0" top="0.19685039370078741" bottom="0.19685039370078741" header="0.35433070866141736" footer="0.27559055118110237"/>
  <pageSetup paperSize="9" scale="91" orientation="portrait" r:id="rId1"/>
  <headerFooter alignWithMargins="0"/>
  <rowBreaks count="4" manualBreakCount="4">
    <brk id="72" max="16383" man="1"/>
    <brk id="112" max="16383" man="1"/>
    <brk id="155" max="16383" man="1"/>
    <brk id="212" max="16383" man="1"/>
  </rowBreaks>
  <ignoredErrors>
    <ignoredError sqref="M159" twoDigitTextYear="1"/>
  </ignoredErrors>
  <drawing r:id="rId2"/>
  <legacyDrawing r:id="rId3"/>
  <mc:AlternateContent xmlns:mc="http://schemas.openxmlformats.org/markup-compatibility/2006">
    <mc:Choice Requires="x14">
      <controls>
        <mc:AlternateContent xmlns:mc="http://schemas.openxmlformats.org/markup-compatibility/2006">
          <mc:Choice Requires="x14">
            <control shapeId="9445" r:id="rId4" name="Check Box 229">
              <controlPr defaultSize="0" autoFill="0" autoLine="0" autoPict="0">
                <anchor moveWithCells="1">
                  <from>
                    <xdr:col>2</xdr:col>
                    <xdr:colOff>15240</xdr:colOff>
                    <xdr:row>216</xdr:row>
                    <xdr:rowOff>38100</xdr:rowOff>
                  </from>
                  <to>
                    <xdr:col>3</xdr:col>
                    <xdr:colOff>99060</xdr:colOff>
                    <xdr:row>218</xdr:row>
                    <xdr:rowOff>45720</xdr:rowOff>
                  </to>
                </anchor>
              </controlPr>
            </control>
          </mc:Choice>
        </mc:AlternateContent>
        <mc:AlternateContent xmlns:mc="http://schemas.openxmlformats.org/markup-compatibility/2006">
          <mc:Choice Requires="x14">
            <control shapeId="9446" r:id="rId5" name="Check Box 230">
              <controlPr defaultSize="0" autoFill="0" autoLine="0" autoPict="0">
                <anchor moveWithCells="1">
                  <from>
                    <xdr:col>2</xdr:col>
                    <xdr:colOff>15240</xdr:colOff>
                    <xdr:row>217</xdr:row>
                    <xdr:rowOff>144780</xdr:rowOff>
                  </from>
                  <to>
                    <xdr:col>3</xdr:col>
                    <xdr:colOff>99060</xdr:colOff>
                    <xdr:row>219</xdr:row>
                    <xdr:rowOff>45720</xdr:rowOff>
                  </to>
                </anchor>
              </controlPr>
            </control>
          </mc:Choice>
        </mc:AlternateContent>
        <mc:AlternateContent xmlns:mc="http://schemas.openxmlformats.org/markup-compatibility/2006">
          <mc:Choice Requires="x14">
            <control shapeId="9447" r:id="rId6" name="Check Box 231">
              <controlPr defaultSize="0" autoFill="0" autoLine="0" autoPict="0">
                <anchor moveWithCells="1">
                  <from>
                    <xdr:col>2</xdr:col>
                    <xdr:colOff>15240</xdr:colOff>
                    <xdr:row>219</xdr:row>
                    <xdr:rowOff>106680</xdr:rowOff>
                  </from>
                  <to>
                    <xdr:col>3</xdr:col>
                    <xdr:colOff>99060</xdr:colOff>
                    <xdr:row>221</xdr:row>
                    <xdr:rowOff>91440</xdr:rowOff>
                  </to>
                </anchor>
              </controlPr>
            </control>
          </mc:Choice>
        </mc:AlternateContent>
        <mc:AlternateContent xmlns:mc="http://schemas.openxmlformats.org/markup-compatibility/2006">
          <mc:Choice Requires="x14">
            <control shapeId="9448" r:id="rId7" name="Check Box 232">
              <controlPr defaultSize="0" autoFill="0" autoLine="0" autoPict="0">
                <anchor moveWithCells="1">
                  <from>
                    <xdr:col>2</xdr:col>
                    <xdr:colOff>15240</xdr:colOff>
                    <xdr:row>241</xdr:row>
                    <xdr:rowOff>144780</xdr:rowOff>
                  </from>
                  <to>
                    <xdr:col>3</xdr:col>
                    <xdr:colOff>99060</xdr:colOff>
                    <xdr:row>243</xdr:row>
                    <xdr:rowOff>30480</xdr:rowOff>
                  </to>
                </anchor>
              </controlPr>
            </control>
          </mc:Choice>
        </mc:AlternateContent>
        <mc:AlternateContent xmlns:mc="http://schemas.openxmlformats.org/markup-compatibility/2006">
          <mc:Choice Requires="x14">
            <control shapeId="9449" r:id="rId8" name="Check Box 233">
              <controlPr defaultSize="0" autoFill="0" autoLine="0" autoPict="0">
                <anchor moveWithCells="1">
                  <from>
                    <xdr:col>2</xdr:col>
                    <xdr:colOff>15240</xdr:colOff>
                    <xdr:row>246</xdr:row>
                    <xdr:rowOff>0</xdr:rowOff>
                  </from>
                  <to>
                    <xdr:col>3</xdr:col>
                    <xdr:colOff>99060</xdr:colOff>
                    <xdr:row>247</xdr:row>
                    <xdr:rowOff>129540</xdr:rowOff>
                  </to>
                </anchor>
              </controlPr>
            </control>
          </mc:Choice>
        </mc:AlternateContent>
        <mc:AlternateContent xmlns:mc="http://schemas.openxmlformats.org/markup-compatibility/2006">
          <mc:Choice Requires="x14">
            <control shapeId="9450" r:id="rId9" name="Check Box 234">
              <controlPr defaultSize="0" autoFill="0" autoLine="0" autoPict="0">
                <anchor moveWithCells="1">
                  <from>
                    <xdr:col>2</xdr:col>
                    <xdr:colOff>15240</xdr:colOff>
                    <xdr:row>250</xdr:row>
                    <xdr:rowOff>106680</xdr:rowOff>
                  </from>
                  <to>
                    <xdr:col>3</xdr:col>
                    <xdr:colOff>99060</xdr:colOff>
                    <xdr:row>252</xdr:row>
                    <xdr:rowOff>53340</xdr:rowOff>
                  </to>
                </anchor>
              </controlPr>
            </control>
          </mc:Choice>
        </mc:AlternateContent>
        <mc:AlternateContent xmlns:mc="http://schemas.openxmlformats.org/markup-compatibility/2006">
          <mc:Choice Requires="x14">
            <control shapeId="9451" r:id="rId10" name="Check Box 235">
              <controlPr defaultSize="0" autoFill="0" autoLine="0" autoPict="0">
                <anchor moveWithCells="1">
                  <from>
                    <xdr:col>2</xdr:col>
                    <xdr:colOff>15240</xdr:colOff>
                    <xdr:row>227</xdr:row>
                    <xdr:rowOff>76200</xdr:rowOff>
                  </from>
                  <to>
                    <xdr:col>3</xdr:col>
                    <xdr:colOff>99060</xdr:colOff>
                    <xdr:row>229</xdr:row>
                    <xdr:rowOff>76200</xdr:rowOff>
                  </to>
                </anchor>
              </controlPr>
            </control>
          </mc:Choice>
        </mc:AlternateContent>
        <mc:AlternateContent xmlns:mc="http://schemas.openxmlformats.org/markup-compatibility/2006">
          <mc:Choice Requires="x14">
            <control shapeId="9452" r:id="rId11" name="Check Box 236">
              <controlPr defaultSize="0" autoFill="0" autoLine="0" autoPict="0">
                <anchor moveWithCells="1">
                  <from>
                    <xdr:col>2</xdr:col>
                    <xdr:colOff>15240</xdr:colOff>
                    <xdr:row>239</xdr:row>
                    <xdr:rowOff>0</xdr:rowOff>
                  </from>
                  <to>
                    <xdr:col>3</xdr:col>
                    <xdr:colOff>99060</xdr:colOff>
                    <xdr:row>240</xdr:row>
                    <xdr:rowOff>144780</xdr:rowOff>
                  </to>
                </anchor>
              </controlPr>
            </control>
          </mc:Choice>
        </mc:AlternateContent>
        <mc:AlternateContent xmlns:mc="http://schemas.openxmlformats.org/markup-compatibility/2006">
          <mc:Choice Requires="x14">
            <control shapeId="9453" r:id="rId12" name="Check Box 237">
              <controlPr defaultSize="0" autoFill="0" autoLine="0" autoPict="0">
                <anchor moveWithCells="1">
                  <from>
                    <xdr:col>2</xdr:col>
                    <xdr:colOff>15240</xdr:colOff>
                    <xdr:row>243</xdr:row>
                    <xdr:rowOff>60960</xdr:rowOff>
                  </from>
                  <to>
                    <xdr:col>3</xdr:col>
                    <xdr:colOff>99060</xdr:colOff>
                    <xdr:row>244</xdr:row>
                    <xdr:rowOff>83820</xdr:rowOff>
                  </to>
                </anchor>
              </controlPr>
            </control>
          </mc:Choice>
        </mc:AlternateContent>
        <mc:AlternateContent xmlns:mc="http://schemas.openxmlformats.org/markup-compatibility/2006">
          <mc:Choice Requires="x14">
            <control shapeId="9454" r:id="rId13" name="Check Box 238">
              <controlPr defaultSize="0" autoFill="0" autoLine="0" autoPict="0">
                <anchor moveWithCells="1">
                  <from>
                    <xdr:col>2</xdr:col>
                    <xdr:colOff>15240</xdr:colOff>
                    <xdr:row>258</xdr:row>
                    <xdr:rowOff>91440</xdr:rowOff>
                  </from>
                  <to>
                    <xdr:col>3</xdr:col>
                    <xdr:colOff>99060</xdr:colOff>
                    <xdr:row>260</xdr:row>
                    <xdr:rowOff>68580</xdr:rowOff>
                  </to>
                </anchor>
              </controlPr>
            </control>
          </mc:Choice>
        </mc:AlternateContent>
        <mc:AlternateContent xmlns:mc="http://schemas.openxmlformats.org/markup-compatibility/2006">
          <mc:Choice Requires="x14">
            <control shapeId="9455" r:id="rId14" name="Check Box 239">
              <controlPr defaultSize="0" autoFill="0" autoLine="0" autoPict="0">
                <anchor moveWithCells="1">
                  <from>
                    <xdr:col>2</xdr:col>
                    <xdr:colOff>15240</xdr:colOff>
                    <xdr:row>270</xdr:row>
                    <xdr:rowOff>22860</xdr:rowOff>
                  </from>
                  <to>
                    <xdr:col>3</xdr:col>
                    <xdr:colOff>99060</xdr:colOff>
                    <xdr:row>271</xdr:row>
                    <xdr:rowOff>152400</xdr:rowOff>
                  </to>
                </anchor>
              </controlPr>
            </control>
          </mc:Choice>
        </mc:AlternateContent>
        <mc:AlternateContent xmlns:mc="http://schemas.openxmlformats.org/markup-compatibility/2006">
          <mc:Choice Requires="x14">
            <control shapeId="9456" r:id="rId15" name="Check Box 240">
              <controlPr defaultSize="0" autoFill="0" autoLine="0" autoPict="0">
                <anchor moveWithCells="1">
                  <from>
                    <xdr:col>2</xdr:col>
                    <xdr:colOff>15240</xdr:colOff>
                    <xdr:row>274</xdr:row>
                    <xdr:rowOff>91440</xdr:rowOff>
                  </from>
                  <to>
                    <xdr:col>3</xdr:col>
                    <xdr:colOff>99060</xdr:colOff>
                    <xdr:row>277</xdr:row>
                    <xdr:rowOff>0</xdr:rowOff>
                  </to>
                </anchor>
              </controlPr>
            </control>
          </mc:Choice>
        </mc:AlternateContent>
        <mc:AlternateContent xmlns:mc="http://schemas.openxmlformats.org/markup-compatibility/2006">
          <mc:Choice Requires="x14">
            <control shapeId="9457" r:id="rId16" name="Check Box 241">
              <controlPr defaultSize="0" autoFill="0" autoLine="0" autoPict="0">
                <anchor moveWithCells="1">
                  <from>
                    <xdr:col>2</xdr:col>
                    <xdr:colOff>15240</xdr:colOff>
                    <xdr:row>264</xdr:row>
                    <xdr:rowOff>106680</xdr:rowOff>
                  </from>
                  <to>
                    <xdr:col>3</xdr:col>
                    <xdr:colOff>99060</xdr:colOff>
                    <xdr:row>266</xdr:row>
                    <xdr:rowOff>121920</xdr:rowOff>
                  </to>
                </anchor>
              </controlPr>
            </control>
          </mc:Choice>
        </mc:AlternateContent>
        <mc:AlternateContent xmlns:mc="http://schemas.openxmlformats.org/markup-compatibility/2006">
          <mc:Choice Requires="x14">
            <control shapeId="9458" r:id="rId17" name="Check Box 242">
              <controlPr defaultSize="0" autoFill="0" autoLine="0" autoPict="0">
                <anchor moveWithCells="1">
                  <from>
                    <xdr:col>2</xdr:col>
                    <xdr:colOff>15240</xdr:colOff>
                    <xdr:row>277</xdr:row>
                    <xdr:rowOff>7620</xdr:rowOff>
                  </from>
                  <to>
                    <xdr:col>3</xdr:col>
                    <xdr:colOff>99060</xdr:colOff>
                    <xdr:row>279</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dimension ref="A1:AI87"/>
  <sheetViews>
    <sheetView showGridLines="0" tabSelected="1" topLeftCell="A40" zoomScale="130" zoomScaleNormal="130" zoomScaleSheetLayoutView="100" workbookViewId="0">
      <selection activeCell="O57" sqref="O57:P57"/>
    </sheetView>
  </sheetViews>
  <sheetFormatPr defaultColWidth="9" defaultRowHeight="12"/>
  <cols>
    <col min="1" max="1" width="0.77734375" style="157" customWidth="1"/>
    <col min="2" max="2" width="1.109375" style="157" customWidth="1"/>
    <col min="3" max="3" width="1.21875" style="157" customWidth="1"/>
    <col min="4" max="4" width="4.44140625" style="157" customWidth="1"/>
    <col min="5" max="5" width="7.33203125" style="157" customWidth="1"/>
    <col min="6" max="6" width="11.6640625" style="157" customWidth="1"/>
    <col min="7" max="7" width="6.33203125" style="157" customWidth="1"/>
    <col min="8" max="8" width="9.21875" style="157" customWidth="1"/>
    <col min="9" max="9" width="5.44140625" style="157" customWidth="1"/>
    <col min="10" max="10" width="2.21875" style="157" customWidth="1"/>
    <col min="11" max="11" width="0.88671875" style="157" customWidth="1"/>
    <col min="12" max="14" width="9" style="157" customWidth="1"/>
    <col min="15" max="17" width="8.33203125" style="157" customWidth="1"/>
    <col min="18" max="18" width="0.33203125" style="157" customWidth="1"/>
    <col min="19" max="19" width="0.44140625" style="157" customWidth="1"/>
    <col min="20" max="20" width="2.44140625" style="158" customWidth="1"/>
    <col min="21" max="22" width="2.44140625" style="158" hidden="1" customWidth="1"/>
    <col min="23" max="23" width="9.21875" style="158" hidden="1" customWidth="1"/>
    <col min="24" max="24" width="6.21875" style="158" hidden="1" customWidth="1"/>
    <col min="25" max="32" width="2.44140625" style="158" hidden="1" customWidth="1"/>
    <col min="33" max="33" width="9" style="158" hidden="1" customWidth="1"/>
    <col min="34" max="16384" width="9" style="157"/>
  </cols>
  <sheetData>
    <row r="1" spans="2:33" s="12" customFormat="1" ht="12.9" customHeight="1">
      <c r="B1" s="846" t="s">
        <v>492</v>
      </c>
      <c r="C1" s="846"/>
      <c r="D1" s="846"/>
      <c r="E1" s="846"/>
      <c r="F1" s="846"/>
      <c r="G1" s="846"/>
      <c r="H1" s="846"/>
      <c r="I1" s="846"/>
      <c r="J1" s="846"/>
      <c r="K1" s="846"/>
      <c r="L1" s="846"/>
      <c r="M1" s="846"/>
      <c r="N1" s="846"/>
      <c r="O1" s="846"/>
      <c r="P1" s="846"/>
      <c r="Q1" s="847"/>
      <c r="T1" s="144"/>
      <c r="U1" s="144"/>
      <c r="V1" s="144"/>
      <c r="W1" s="144"/>
      <c r="X1" s="144"/>
      <c r="Y1" s="144"/>
      <c r="Z1" s="144"/>
      <c r="AA1" s="144"/>
      <c r="AB1" s="144"/>
      <c r="AC1" s="144"/>
      <c r="AD1" s="144"/>
      <c r="AE1" s="144"/>
      <c r="AF1" s="144"/>
      <c r="AG1" s="144"/>
    </row>
    <row r="2" spans="2:33" s="12" customFormat="1" ht="13.8">
      <c r="B2" s="145"/>
      <c r="C2" s="145"/>
      <c r="D2" s="146"/>
      <c r="E2" s="146"/>
      <c r="F2" s="354" t="s">
        <v>341</v>
      </c>
      <c r="G2"/>
      <c r="H2"/>
      <c r="I2"/>
      <c r="J2"/>
      <c r="K2"/>
      <c r="L2"/>
      <c r="M2"/>
      <c r="N2"/>
      <c r="O2"/>
      <c r="P2" s="147" t="s">
        <v>487</v>
      </c>
      <c r="T2" s="144"/>
      <c r="U2" s="144"/>
      <c r="V2" s="144"/>
      <c r="W2" s="144"/>
      <c r="X2" s="144"/>
      <c r="Y2" s="144"/>
      <c r="Z2" s="144"/>
      <c r="AA2" s="144"/>
      <c r="AB2" s="144"/>
      <c r="AC2" s="144"/>
      <c r="AD2" s="144"/>
      <c r="AE2" s="144"/>
      <c r="AF2" s="144"/>
      <c r="AG2" s="144"/>
    </row>
    <row r="3" spans="2:33" s="12" customFormat="1" ht="4.5" customHeight="1">
      <c r="T3" s="144"/>
      <c r="U3" s="148"/>
      <c r="V3" s="148"/>
      <c r="W3" s="144"/>
      <c r="X3" s="144"/>
      <c r="Y3" s="144"/>
      <c r="Z3" s="144"/>
      <c r="AA3" s="144"/>
      <c r="AB3" s="144"/>
      <c r="AC3" s="144"/>
      <c r="AD3" s="144"/>
      <c r="AE3" s="144"/>
      <c r="AF3" s="144"/>
      <c r="AG3" s="144"/>
    </row>
    <row r="4" spans="2:33" s="12" customFormat="1" ht="12.75" customHeight="1" thickBot="1">
      <c r="C4" s="149" t="s">
        <v>342</v>
      </c>
      <c r="E4" s="149"/>
      <c r="G4" s="868" t="s">
        <v>339</v>
      </c>
      <c r="H4" s="868"/>
      <c r="I4" s="868"/>
      <c r="J4" s="867" t="s">
        <v>338</v>
      </c>
      <c r="K4" s="867"/>
      <c r="L4" s="867"/>
      <c r="M4" s="867"/>
      <c r="N4" s="867"/>
      <c r="O4" s="867"/>
      <c r="P4" s="867"/>
      <c r="Q4" s="867"/>
      <c r="R4" s="150"/>
      <c r="T4" s="144"/>
      <c r="U4" s="151" t="s">
        <v>211</v>
      </c>
      <c r="V4" s="151" t="s">
        <v>211</v>
      </c>
      <c r="W4" s="144"/>
      <c r="X4" s="144"/>
      <c r="Y4" s="144"/>
      <c r="Z4" s="144"/>
      <c r="AA4" s="144"/>
      <c r="AB4" s="144"/>
      <c r="AC4" s="144"/>
      <c r="AD4" s="144"/>
      <c r="AE4" s="144"/>
      <c r="AF4" s="144"/>
      <c r="AG4" s="144"/>
    </row>
    <row r="5" spans="2:33" s="12" customFormat="1" ht="13.5" customHeight="1">
      <c r="B5" s="873" t="s">
        <v>212</v>
      </c>
      <c r="C5" s="874"/>
      <c r="D5" s="874"/>
      <c r="E5" s="874"/>
      <c r="F5" s="875"/>
      <c r="G5" s="816" t="s">
        <v>493</v>
      </c>
      <c r="H5" s="818"/>
      <c r="I5" s="819"/>
      <c r="J5" s="804" t="s">
        <v>340</v>
      </c>
      <c r="K5" s="805"/>
      <c r="L5" s="805"/>
      <c r="M5" s="805"/>
      <c r="N5" s="805"/>
      <c r="O5" s="805"/>
      <c r="P5" s="806"/>
      <c r="Q5" s="816" t="s">
        <v>121</v>
      </c>
      <c r="R5" s="817"/>
      <c r="T5" s="144"/>
      <c r="U5" s="810" t="s">
        <v>117</v>
      </c>
      <c r="V5" s="810" t="s">
        <v>116</v>
      </c>
      <c r="W5" s="144"/>
      <c r="X5" s="807" t="s">
        <v>119</v>
      </c>
      <c r="Y5" s="144"/>
      <c r="Z5" s="787" t="s">
        <v>118</v>
      </c>
      <c r="AA5" s="788"/>
      <c r="AB5" s="789"/>
      <c r="AC5" s="787" t="s">
        <v>120</v>
      </c>
      <c r="AD5" s="788"/>
      <c r="AE5" s="789"/>
      <c r="AF5" s="144"/>
      <c r="AG5" s="144"/>
    </row>
    <row r="6" spans="2:33" s="12" customFormat="1" ht="20.399999999999999" customHeight="1" thickBot="1">
      <c r="B6" s="732" t="s">
        <v>510</v>
      </c>
      <c r="C6" s="733"/>
      <c r="D6" s="733"/>
      <c r="E6" s="733"/>
      <c r="F6" s="734"/>
      <c r="G6" s="820" t="s">
        <v>512</v>
      </c>
      <c r="H6" s="821"/>
      <c r="I6" s="822"/>
      <c r="J6" s="876" t="s">
        <v>502</v>
      </c>
      <c r="K6" s="876"/>
      <c r="L6" s="876"/>
      <c r="M6" s="876"/>
      <c r="N6" s="876"/>
      <c r="O6" s="876"/>
      <c r="P6" s="877"/>
      <c r="Q6" s="799" t="s">
        <v>198</v>
      </c>
      <c r="R6" s="800"/>
      <c r="T6" s="144"/>
      <c r="U6" s="811"/>
      <c r="V6" s="811"/>
      <c r="W6" s="144"/>
      <c r="X6" s="808"/>
      <c r="Y6" s="144"/>
      <c r="Z6" s="790" t="s">
        <v>115</v>
      </c>
      <c r="AA6" s="793" t="s">
        <v>389</v>
      </c>
      <c r="AB6" s="796" t="s">
        <v>390</v>
      </c>
      <c r="AC6" s="790" t="s">
        <v>213</v>
      </c>
      <c r="AD6" s="793" t="s">
        <v>389</v>
      </c>
      <c r="AE6" s="796" t="s">
        <v>390</v>
      </c>
      <c r="AF6" s="144"/>
      <c r="AG6" s="144"/>
    </row>
    <row r="7" spans="2:33" s="12" customFormat="1" ht="4.5" customHeight="1">
      <c r="B7" s="152"/>
      <c r="C7" s="152"/>
      <c r="D7" s="152"/>
      <c r="E7" s="152"/>
      <c r="F7" s="152"/>
      <c r="G7" s="152"/>
      <c r="H7" s="152"/>
      <c r="I7" s="153"/>
      <c r="J7" s="153"/>
      <c r="K7" s="154"/>
      <c r="L7" s="154"/>
      <c r="M7" s="154"/>
      <c r="N7" s="154"/>
      <c r="O7" s="154"/>
      <c r="P7" s="154"/>
      <c r="Q7" s="155"/>
      <c r="R7" s="155"/>
      <c r="T7" s="144"/>
      <c r="U7" s="811"/>
      <c r="V7" s="811"/>
      <c r="W7" s="144"/>
      <c r="X7" s="808"/>
      <c r="Y7" s="144"/>
      <c r="Z7" s="791"/>
      <c r="AA7" s="794"/>
      <c r="AB7" s="797"/>
      <c r="AC7" s="791"/>
      <c r="AD7" s="794"/>
      <c r="AE7" s="797"/>
      <c r="AF7" s="144"/>
      <c r="AG7" s="144"/>
    </row>
    <row r="8" spans="2:33" ht="12.75" customHeight="1" thickBot="1">
      <c r="B8" s="12"/>
      <c r="C8" s="801" t="s">
        <v>189</v>
      </c>
      <c r="D8" s="801"/>
      <c r="E8" s="801"/>
      <c r="F8" s="801"/>
      <c r="G8" s="801"/>
      <c r="H8" s="801"/>
      <c r="I8" s="801"/>
      <c r="J8" s="801"/>
      <c r="K8" s="801"/>
      <c r="L8" s="156"/>
      <c r="M8" s="156"/>
      <c r="N8" s="156"/>
      <c r="O8" s="156"/>
      <c r="P8" s="156"/>
      <c r="Q8" s="156"/>
      <c r="R8" s="156"/>
      <c r="U8" s="811"/>
      <c r="V8" s="811"/>
      <c r="W8" s="144"/>
      <c r="X8" s="808"/>
      <c r="Y8" s="159"/>
      <c r="Z8" s="791"/>
      <c r="AA8" s="794"/>
      <c r="AB8" s="797"/>
      <c r="AC8" s="791"/>
      <c r="AD8" s="794"/>
      <c r="AE8" s="797"/>
    </row>
    <row r="9" spans="2:33" ht="21.6" customHeight="1">
      <c r="B9" s="160"/>
      <c r="C9" s="161"/>
      <c r="D9" s="744" t="s">
        <v>391</v>
      </c>
      <c r="E9" s="744"/>
      <c r="F9" s="744"/>
      <c r="G9" s="744"/>
      <c r="H9" s="744"/>
      <c r="I9" s="744"/>
      <c r="J9" s="744"/>
      <c r="K9" s="745"/>
      <c r="L9" s="823" t="s">
        <v>190</v>
      </c>
      <c r="M9" s="824"/>
      <c r="N9" s="824"/>
      <c r="O9" s="862" t="s">
        <v>392</v>
      </c>
      <c r="P9" s="863"/>
      <c r="Q9" s="863"/>
      <c r="R9" s="864"/>
      <c r="U9" s="811"/>
      <c r="V9" s="811"/>
      <c r="W9" s="144"/>
      <c r="X9" s="808"/>
      <c r="Y9" s="159"/>
      <c r="Z9" s="791"/>
      <c r="AA9" s="794"/>
      <c r="AB9" s="797"/>
      <c r="AC9" s="791"/>
      <c r="AD9" s="794"/>
      <c r="AE9" s="797"/>
    </row>
    <row r="10" spans="2:33" ht="15" customHeight="1">
      <c r="B10" s="825"/>
      <c r="C10" s="826"/>
      <c r="D10" s="826"/>
      <c r="E10" s="826"/>
      <c r="F10" s="826"/>
      <c r="G10" s="826"/>
      <c r="H10" s="826"/>
      <c r="I10" s="826"/>
      <c r="J10" s="826"/>
      <c r="K10" s="827"/>
      <c r="L10" s="162" t="s">
        <v>122</v>
      </c>
      <c r="M10" s="163" t="s">
        <v>124</v>
      </c>
      <c r="N10" s="164" t="s">
        <v>123</v>
      </c>
      <c r="O10" s="165" t="s">
        <v>182</v>
      </c>
      <c r="P10" s="813" t="s">
        <v>263</v>
      </c>
      <c r="Q10" s="814"/>
      <c r="R10" s="815"/>
      <c r="U10" s="811"/>
      <c r="V10" s="811"/>
      <c r="W10" s="144"/>
      <c r="X10" s="808"/>
      <c r="Y10" s="159"/>
      <c r="Z10" s="791"/>
      <c r="AA10" s="794"/>
      <c r="AB10" s="797"/>
      <c r="AC10" s="791"/>
      <c r="AD10" s="794"/>
      <c r="AE10" s="797"/>
    </row>
    <row r="11" spans="2:33" ht="9.75" customHeight="1" thickBot="1">
      <c r="B11" s="869"/>
      <c r="C11" s="870"/>
      <c r="D11" s="871"/>
      <c r="E11" s="871"/>
      <c r="F11" s="871"/>
      <c r="G11" s="871"/>
      <c r="H11" s="871"/>
      <c r="I11" s="871"/>
      <c r="J11" s="871"/>
      <c r="K11" s="872"/>
      <c r="L11" s="166"/>
      <c r="M11" s="167" t="s">
        <v>180</v>
      </c>
      <c r="N11" s="168" t="s">
        <v>181</v>
      </c>
      <c r="O11" s="169" t="s">
        <v>262</v>
      </c>
      <c r="P11" s="170" t="s">
        <v>169</v>
      </c>
      <c r="Q11" s="865" t="s">
        <v>170</v>
      </c>
      <c r="R11" s="866"/>
      <c r="U11" s="812"/>
      <c r="V11" s="812"/>
      <c r="W11" s="144"/>
      <c r="X11" s="809"/>
      <c r="Y11" s="159"/>
      <c r="Z11" s="792"/>
      <c r="AA11" s="795"/>
      <c r="AB11" s="798"/>
      <c r="AC11" s="792"/>
      <c r="AD11" s="795"/>
      <c r="AE11" s="798"/>
    </row>
    <row r="12" spans="2:33" ht="10.5" customHeight="1">
      <c r="B12" s="171"/>
      <c r="C12" s="802" t="s">
        <v>166</v>
      </c>
      <c r="D12" s="802"/>
      <c r="E12" s="802"/>
      <c r="F12" s="802"/>
      <c r="G12" s="802"/>
      <c r="H12" s="802"/>
      <c r="I12" s="802"/>
      <c r="J12" s="802"/>
      <c r="K12" s="803"/>
      <c r="L12" s="172"/>
      <c r="M12" s="173" t="s">
        <v>216</v>
      </c>
      <c r="N12" s="174" t="s">
        <v>217</v>
      </c>
      <c r="O12" s="175" t="s">
        <v>179</v>
      </c>
      <c r="P12" s="176" t="s">
        <v>168</v>
      </c>
      <c r="Q12" s="176" t="s">
        <v>168</v>
      </c>
      <c r="R12" s="177"/>
      <c r="U12" s="178"/>
      <c r="V12" s="178"/>
      <c r="W12" s="144"/>
      <c r="X12" s="179"/>
      <c r="Y12" s="159"/>
      <c r="Z12" s="180"/>
      <c r="AA12" s="181"/>
      <c r="AB12" s="182"/>
      <c r="AC12" s="180"/>
      <c r="AD12" s="181"/>
      <c r="AE12" s="182"/>
    </row>
    <row r="13" spans="2:33" ht="12.9" customHeight="1">
      <c r="B13" s="730">
        <v>1</v>
      </c>
      <c r="C13" s="731"/>
      <c r="D13" s="720" t="s">
        <v>509</v>
      </c>
      <c r="E13" s="720"/>
      <c r="F13" s="720"/>
      <c r="G13" s="720"/>
      <c r="H13" s="720"/>
      <c r="I13" s="720"/>
      <c r="J13" s="720"/>
      <c r="K13" s="721"/>
      <c r="L13" s="183"/>
      <c r="M13" s="184"/>
      <c r="N13" s="185"/>
      <c r="O13" s="186" t="s">
        <v>178</v>
      </c>
      <c r="P13" s="187"/>
      <c r="Q13" s="828"/>
      <c r="R13" s="829"/>
      <c r="U13" s="188">
        <v>1</v>
      </c>
      <c r="V13" s="188">
        <v>1</v>
      </c>
      <c r="W13" s="144"/>
      <c r="X13" s="385">
        <f>CHOOSE(U13+V13*3-3,Z13,AA13,AB13,AC13,AD13,AE13)</f>
        <v>0</v>
      </c>
      <c r="Y13" s="144"/>
      <c r="Z13" s="370">
        <v>0</v>
      </c>
      <c r="AA13" s="371">
        <v>1</v>
      </c>
      <c r="AB13" s="372">
        <v>2</v>
      </c>
      <c r="AC13" s="373">
        <v>2</v>
      </c>
      <c r="AD13" s="374">
        <v>2</v>
      </c>
      <c r="AE13" s="372">
        <v>2</v>
      </c>
    </row>
    <row r="14" spans="2:33" ht="12.9" customHeight="1">
      <c r="B14" s="730">
        <v>2</v>
      </c>
      <c r="C14" s="731"/>
      <c r="D14" s="720" t="s">
        <v>171</v>
      </c>
      <c r="E14" s="720"/>
      <c r="F14" s="720"/>
      <c r="G14" s="720"/>
      <c r="H14" s="720"/>
      <c r="I14" s="720"/>
      <c r="J14" s="720"/>
      <c r="K14" s="721"/>
      <c r="L14" s="183"/>
      <c r="M14" s="189"/>
      <c r="N14" s="185"/>
      <c r="O14" s="190" t="s">
        <v>177</v>
      </c>
      <c r="P14" s="191"/>
      <c r="Q14" s="702"/>
      <c r="R14" s="703"/>
      <c r="U14" s="355">
        <v>1</v>
      </c>
      <c r="V14" s="355">
        <v>1</v>
      </c>
      <c r="X14" s="192">
        <f>CHOOSE(U14+V14*2-2,Z14,AB14,AC14,AE14)</f>
        <v>0</v>
      </c>
      <c r="Z14" s="193">
        <v>0</v>
      </c>
      <c r="AA14" s="194"/>
      <c r="AB14" s="195">
        <v>2</v>
      </c>
      <c r="AC14" s="196">
        <v>2</v>
      </c>
      <c r="AD14" s="194"/>
      <c r="AE14" s="195">
        <v>2</v>
      </c>
    </row>
    <row r="15" spans="2:33" ht="12.9" customHeight="1">
      <c r="B15" s="730">
        <v>3</v>
      </c>
      <c r="C15" s="731"/>
      <c r="D15" s="720" t="s">
        <v>158</v>
      </c>
      <c r="E15" s="720"/>
      <c r="F15" s="720"/>
      <c r="G15" s="720"/>
      <c r="H15" s="720"/>
      <c r="I15" s="720"/>
      <c r="J15" s="720"/>
      <c r="K15" s="721"/>
      <c r="L15" s="183"/>
      <c r="M15" s="184"/>
      <c r="N15" s="185"/>
      <c r="O15" s="190" t="s">
        <v>177</v>
      </c>
      <c r="P15" s="191"/>
      <c r="Q15" s="702"/>
      <c r="R15" s="703"/>
      <c r="U15" s="355">
        <v>2</v>
      </c>
      <c r="V15" s="355">
        <v>1</v>
      </c>
      <c r="X15" s="192">
        <f>CHOOSE(U15+V15*3-3,Z15,AA15,AB15,AC15,AD15,AE15)</f>
        <v>1</v>
      </c>
      <c r="Z15" s="193">
        <v>0</v>
      </c>
      <c r="AA15" s="197">
        <v>1</v>
      </c>
      <c r="AB15" s="195">
        <v>2</v>
      </c>
      <c r="AC15" s="196">
        <v>2</v>
      </c>
      <c r="AD15" s="198">
        <v>2</v>
      </c>
      <c r="AE15" s="195">
        <v>2</v>
      </c>
    </row>
    <row r="16" spans="2:33" ht="12.9" customHeight="1">
      <c r="B16" s="730">
        <v>4</v>
      </c>
      <c r="C16" s="731"/>
      <c r="D16" s="720" t="s">
        <v>159</v>
      </c>
      <c r="E16" s="720"/>
      <c r="F16" s="720"/>
      <c r="G16" s="720"/>
      <c r="H16" s="720"/>
      <c r="I16" s="720"/>
      <c r="J16" s="720"/>
      <c r="K16" s="721"/>
      <c r="L16" s="183"/>
      <c r="M16" s="184"/>
      <c r="N16" s="185"/>
      <c r="O16" s="190" t="s">
        <v>177</v>
      </c>
      <c r="P16" s="191"/>
      <c r="Q16" s="702"/>
      <c r="R16" s="703"/>
      <c r="U16" s="355">
        <v>1</v>
      </c>
      <c r="V16" s="355">
        <v>1</v>
      </c>
      <c r="X16" s="192">
        <f>CHOOSE(U16+V16*3-3,Z16,AA16,AB16,AC16,AD16,AE16)</f>
        <v>0</v>
      </c>
      <c r="Z16" s="193">
        <v>0</v>
      </c>
      <c r="AA16" s="197">
        <v>1</v>
      </c>
      <c r="AB16" s="195">
        <v>2</v>
      </c>
      <c r="AC16" s="196">
        <v>2</v>
      </c>
      <c r="AD16" s="198">
        <v>2</v>
      </c>
      <c r="AE16" s="195">
        <v>2</v>
      </c>
    </row>
    <row r="17" spans="2:31" ht="12.9" customHeight="1">
      <c r="B17" s="730">
        <v>5</v>
      </c>
      <c r="C17" s="731"/>
      <c r="D17" s="720" t="s">
        <v>172</v>
      </c>
      <c r="E17" s="720"/>
      <c r="F17" s="720"/>
      <c r="G17" s="720"/>
      <c r="H17" s="720"/>
      <c r="I17" s="720"/>
      <c r="J17" s="720"/>
      <c r="K17" s="721"/>
      <c r="L17" s="183"/>
      <c r="M17" s="189"/>
      <c r="N17" s="185"/>
      <c r="O17" s="190" t="s">
        <v>177</v>
      </c>
      <c r="P17" s="191"/>
      <c r="Q17" s="702"/>
      <c r="R17" s="703"/>
      <c r="U17" s="355">
        <v>1</v>
      </c>
      <c r="V17" s="355">
        <v>1</v>
      </c>
      <c r="X17" s="192">
        <f t="shared" ref="X17:X22" si="0">CHOOSE(U17+V17*2-2,Z17,AB17,AC17,AE17)</f>
        <v>0</v>
      </c>
      <c r="Z17" s="193">
        <v>0</v>
      </c>
      <c r="AA17" s="194"/>
      <c r="AB17" s="195">
        <v>2</v>
      </c>
      <c r="AC17" s="196">
        <v>2</v>
      </c>
      <c r="AD17" s="194"/>
      <c r="AE17" s="195">
        <v>2</v>
      </c>
    </row>
    <row r="18" spans="2:31" ht="12.9" customHeight="1">
      <c r="B18" s="704">
        <v>6</v>
      </c>
      <c r="C18" s="705"/>
      <c r="D18" s="433" t="s">
        <v>173</v>
      </c>
      <c r="E18" s="433"/>
      <c r="F18" s="433"/>
      <c r="G18" s="433"/>
      <c r="H18" s="433"/>
      <c r="I18" s="433"/>
      <c r="J18" s="433"/>
      <c r="K18" s="719"/>
      <c r="L18" s="199"/>
      <c r="M18" s="200"/>
      <c r="N18" s="201"/>
      <c r="O18" s="202" t="s">
        <v>177</v>
      </c>
      <c r="P18" s="203"/>
      <c r="Q18" s="728"/>
      <c r="R18" s="729"/>
      <c r="U18" s="355">
        <v>1</v>
      </c>
      <c r="V18" s="356">
        <v>1</v>
      </c>
      <c r="X18" s="192">
        <f t="shared" si="0"/>
        <v>0</v>
      </c>
      <c r="Z18" s="193">
        <v>0</v>
      </c>
      <c r="AA18" s="194"/>
      <c r="AB18" s="195">
        <v>2</v>
      </c>
      <c r="AC18" s="196">
        <v>2</v>
      </c>
      <c r="AD18" s="194"/>
      <c r="AE18" s="195">
        <v>2</v>
      </c>
    </row>
    <row r="19" spans="2:31" ht="12.9" customHeight="1">
      <c r="B19" s="730">
        <v>7</v>
      </c>
      <c r="C19" s="731"/>
      <c r="D19" s="737" t="s">
        <v>433</v>
      </c>
      <c r="E19" s="720"/>
      <c r="F19" s="720"/>
      <c r="G19" s="720"/>
      <c r="H19" s="720"/>
      <c r="I19" s="720"/>
      <c r="J19" s="720"/>
      <c r="K19" s="721"/>
      <c r="L19" s="204"/>
      <c r="M19" s="205"/>
      <c r="N19" s="206"/>
      <c r="O19" s="202" t="s">
        <v>177</v>
      </c>
      <c r="P19" s="191"/>
      <c r="Q19" s="191"/>
      <c r="R19" s="207"/>
      <c r="U19" s="355">
        <v>1</v>
      </c>
      <c r="V19" s="355">
        <v>1</v>
      </c>
      <c r="X19" s="192">
        <f t="shared" si="0"/>
        <v>0</v>
      </c>
      <c r="Z19" s="193">
        <v>0</v>
      </c>
      <c r="AA19" s="194"/>
      <c r="AB19" s="195">
        <v>2</v>
      </c>
      <c r="AC19" s="196">
        <v>2</v>
      </c>
      <c r="AD19" s="194"/>
      <c r="AE19" s="195">
        <v>2</v>
      </c>
    </row>
    <row r="20" spans="2:31" ht="12.9" customHeight="1">
      <c r="B20" s="730">
        <v>8</v>
      </c>
      <c r="C20" s="731"/>
      <c r="D20" s="737" t="s">
        <v>434</v>
      </c>
      <c r="E20" s="720"/>
      <c r="F20" s="720"/>
      <c r="G20" s="720"/>
      <c r="H20" s="720"/>
      <c r="I20" s="720"/>
      <c r="J20" s="720"/>
      <c r="K20" s="721"/>
      <c r="L20" s="204"/>
      <c r="M20" s="205"/>
      <c r="N20" s="206"/>
      <c r="O20" s="202" t="s">
        <v>177</v>
      </c>
      <c r="P20" s="191"/>
      <c r="Q20" s="191"/>
      <c r="R20" s="207"/>
      <c r="U20" s="355">
        <v>1</v>
      </c>
      <c r="V20" s="355">
        <v>1</v>
      </c>
      <c r="X20" s="192">
        <f t="shared" si="0"/>
        <v>0</v>
      </c>
      <c r="Z20" s="193">
        <v>0</v>
      </c>
      <c r="AA20" s="194"/>
      <c r="AB20" s="195">
        <v>2</v>
      </c>
      <c r="AC20" s="196">
        <v>2</v>
      </c>
      <c r="AD20" s="194"/>
      <c r="AE20" s="195">
        <v>2</v>
      </c>
    </row>
    <row r="21" spans="2:31" ht="12.9" customHeight="1">
      <c r="B21" s="730">
        <v>9</v>
      </c>
      <c r="C21" s="731"/>
      <c r="D21" s="737" t="s">
        <v>435</v>
      </c>
      <c r="E21" s="720"/>
      <c r="F21" s="720"/>
      <c r="G21" s="720"/>
      <c r="H21" s="720"/>
      <c r="I21" s="720"/>
      <c r="J21" s="720"/>
      <c r="K21" s="721"/>
      <c r="L21" s="204"/>
      <c r="M21" s="205"/>
      <c r="N21" s="206"/>
      <c r="O21" s="202" t="s">
        <v>177</v>
      </c>
      <c r="P21" s="191"/>
      <c r="Q21" s="191"/>
      <c r="R21" s="207"/>
      <c r="U21" s="355">
        <v>1</v>
      </c>
      <c r="V21" s="355">
        <v>1</v>
      </c>
      <c r="X21" s="192">
        <f t="shared" si="0"/>
        <v>0</v>
      </c>
      <c r="Z21" s="193">
        <v>0</v>
      </c>
      <c r="AA21" s="194"/>
      <c r="AB21" s="195">
        <v>2</v>
      </c>
      <c r="AC21" s="196">
        <v>2</v>
      </c>
      <c r="AD21" s="194"/>
      <c r="AE21" s="195">
        <v>2</v>
      </c>
    </row>
    <row r="22" spans="2:31" ht="12.9" customHeight="1" thickBot="1">
      <c r="B22" s="741">
        <v>10</v>
      </c>
      <c r="C22" s="742"/>
      <c r="D22" s="738" t="s">
        <v>436</v>
      </c>
      <c r="E22" s="739"/>
      <c r="F22" s="739"/>
      <c r="G22" s="739"/>
      <c r="H22" s="739"/>
      <c r="I22" s="739"/>
      <c r="J22" s="739"/>
      <c r="K22" s="740"/>
      <c r="L22" s="208"/>
      <c r="M22" s="209"/>
      <c r="N22" s="210"/>
      <c r="O22" s="211" t="s">
        <v>177</v>
      </c>
      <c r="P22" s="212"/>
      <c r="Q22" s="212"/>
      <c r="R22" s="207"/>
      <c r="U22" s="355">
        <v>1</v>
      </c>
      <c r="V22" s="358">
        <v>1</v>
      </c>
      <c r="X22" s="192">
        <f t="shared" si="0"/>
        <v>0</v>
      </c>
      <c r="Z22" s="193">
        <v>0</v>
      </c>
      <c r="AA22" s="194"/>
      <c r="AB22" s="195">
        <v>2</v>
      </c>
      <c r="AC22" s="196">
        <v>2</v>
      </c>
      <c r="AD22" s="194"/>
      <c r="AE22" s="195">
        <v>2</v>
      </c>
    </row>
    <row r="23" spans="2:31" ht="12.9" customHeight="1">
      <c r="B23" s="735">
        <v>11</v>
      </c>
      <c r="C23" s="736"/>
      <c r="D23" s="436" t="s">
        <v>191</v>
      </c>
      <c r="E23" s="436"/>
      <c r="F23" s="436"/>
      <c r="G23" s="436"/>
      <c r="H23" s="436"/>
      <c r="I23" s="436"/>
      <c r="J23" s="436"/>
      <c r="K23" s="743"/>
      <c r="L23" s="183"/>
      <c r="M23" s="189"/>
      <c r="N23" s="185"/>
      <c r="O23" s="213"/>
      <c r="P23" s="214"/>
      <c r="Q23" s="706"/>
      <c r="R23" s="707"/>
      <c r="U23" s="355">
        <v>1</v>
      </c>
      <c r="V23" s="359"/>
      <c r="X23" s="192">
        <f t="shared" ref="X23:X31" si="1">CHOOSE(U23,Z23,AB23)</f>
        <v>0</v>
      </c>
      <c r="Z23" s="193">
        <v>0</v>
      </c>
      <c r="AA23" s="194"/>
      <c r="AB23" s="215">
        <v>9</v>
      </c>
      <c r="AC23" s="216"/>
      <c r="AD23" s="194"/>
      <c r="AE23" s="217"/>
    </row>
    <row r="24" spans="2:31" ht="12.9" customHeight="1">
      <c r="B24" s="735">
        <v>12</v>
      </c>
      <c r="C24" s="736"/>
      <c r="D24" s="720" t="s">
        <v>288</v>
      </c>
      <c r="E24" s="720"/>
      <c r="F24" s="720"/>
      <c r="G24" s="720"/>
      <c r="H24" s="720"/>
      <c r="I24" s="720"/>
      <c r="J24" s="720"/>
      <c r="K24" s="721"/>
      <c r="L24" s="183"/>
      <c r="M24" s="189"/>
      <c r="N24" s="185"/>
      <c r="O24" s="218"/>
      <c r="P24" s="219"/>
      <c r="Q24" s="708"/>
      <c r="R24" s="709"/>
      <c r="U24" s="355">
        <v>1</v>
      </c>
      <c r="V24" s="359"/>
      <c r="X24" s="192">
        <f t="shared" si="1"/>
        <v>0</v>
      </c>
      <c r="Z24" s="193">
        <v>0</v>
      </c>
      <c r="AA24" s="194"/>
      <c r="AB24" s="215">
        <v>9</v>
      </c>
      <c r="AC24" s="216"/>
      <c r="AD24" s="194"/>
      <c r="AE24" s="217"/>
    </row>
    <row r="25" spans="2:31" ht="12.9" customHeight="1">
      <c r="B25" s="735">
        <v>13</v>
      </c>
      <c r="C25" s="736"/>
      <c r="D25" s="720" t="s">
        <v>393</v>
      </c>
      <c r="E25" s="720"/>
      <c r="F25" s="720"/>
      <c r="G25" s="720"/>
      <c r="H25" s="720"/>
      <c r="I25" s="720"/>
      <c r="J25" s="720"/>
      <c r="K25" s="721"/>
      <c r="L25" s="183"/>
      <c r="M25" s="189"/>
      <c r="N25" s="185"/>
      <c r="O25" s="218"/>
      <c r="P25" s="219"/>
      <c r="Q25" s="708"/>
      <c r="R25" s="709"/>
      <c r="U25" s="355">
        <v>1</v>
      </c>
      <c r="V25" s="359"/>
      <c r="X25" s="192">
        <f t="shared" si="1"/>
        <v>0</v>
      </c>
      <c r="Z25" s="193">
        <v>0</v>
      </c>
      <c r="AA25" s="194"/>
      <c r="AB25" s="215">
        <v>9</v>
      </c>
      <c r="AC25" s="216"/>
      <c r="AD25" s="194"/>
      <c r="AE25" s="217"/>
    </row>
    <row r="26" spans="2:31" ht="12.9" customHeight="1">
      <c r="B26" s="735">
        <v>14</v>
      </c>
      <c r="C26" s="736"/>
      <c r="D26" s="720" t="s">
        <v>394</v>
      </c>
      <c r="E26" s="720"/>
      <c r="F26" s="720"/>
      <c r="G26" s="720"/>
      <c r="H26" s="720"/>
      <c r="I26" s="720"/>
      <c r="J26" s="720"/>
      <c r="K26" s="721"/>
      <c r="L26" s="183"/>
      <c r="M26" s="189"/>
      <c r="N26" s="185"/>
      <c r="O26" s="218"/>
      <c r="P26" s="219"/>
      <c r="Q26" s="708"/>
      <c r="R26" s="709"/>
      <c r="U26" s="355">
        <v>1</v>
      </c>
      <c r="V26" s="359"/>
      <c r="X26" s="192">
        <f t="shared" si="1"/>
        <v>0</v>
      </c>
      <c r="Z26" s="193">
        <v>0</v>
      </c>
      <c r="AA26" s="194"/>
      <c r="AB26" s="215">
        <v>9</v>
      </c>
      <c r="AC26" s="216"/>
      <c r="AD26" s="194"/>
      <c r="AE26" s="217"/>
    </row>
    <row r="27" spans="2:31" ht="12.9" customHeight="1">
      <c r="B27" s="735">
        <v>15</v>
      </c>
      <c r="C27" s="736"/>
      <c r="D27" s="720" t="s">
        <v>174</v>
      </c>
      <c r="E27" s="720"/>
      <c r="F27" s="720"/>
      <c r="G27" s="720"/>
      <c r="H27" s="720"/>
      <c r="I27" s="720"/>
      <c r="J27" s="720"/>
      <c r="K27" s="721"/>
      <c r="L27" s="183"/>
      <c r="M27" s="189"/>
      <c r="N27" s="185"/>
      <c r="O27" s="218"/>
      <c r="P27" s="219"/>
      <c r="Q27" s="708"/>
      <c r="R27" s="709"/>
      <c r="U27" s="355">
        <v>1</v>
      </c>
      <c r="V27" s="359"/>
      <c r="X27" s="192">
        <f t="shared" si="1"/>
        <v>0</v>
      </c>
      <c r="Z27" s="193">
        <v>0</v>
      </c>
      <c r="AA27" s="194"/>
      <c r="AB27" s="215">
        <v>9</v>
      </c>
      <c r="AC27" s="216"/>
      <c r="AD27" s="194"/>
      <c r="AE27" s="217"/>
    </row>
    <row r="28" spans="2:31" ht="12.9" customHeight="1">
      <c r="B28" s="735">
        <v>16</v>
      </c>
      <c r="C28" s="736"/>
      <c r="D28" s="720" t="s">
        <v>38</v>
      </c>
      <c r="E28" s="720"/>
      <c r="F28" s="720"/>
      <c r="G28" s="720"/>
      <c r="H28" s="720"/>
      <c r="I28" s="720"/>
      <c r="J28" s="720"/>
      <c r="K28" s="721"/>
      <c r="L28" s="183"/>
      <c r="M28" s="189"/>
      <c r="N28" s="185"/>
      <c r="O28" s="218"/>
      <c r="P28" s="219"/>
      <c r="Q28" s="717"/>
      <c r="R28" s="718"/>
      <c r="U28" s="355">
        <v>1</v>
      </c>
      <c r="V28" s="359"/>
      <c r="X28" s="192">
        <f t="shared" si="1"/>
        <v>0</v>
      </c>
      <c r="Z28" s="193">
        <v>0</v>
      </c>
      <c r="AA28" s="194"/>
      <c r="AB28" s="215">
        <v>9</v>
      </c>
      <c r="AC28" s="216"/>
      <c r="AD28" s="194"/>
      <c r="AE28" s="217"/>
    </row>
    <row r="29" spans="2:31" ht="12.9" customHeight="1">
      <c r="B29" s="735">
        <v>17</v>
      </c>
      <c r="C29" s="736"/>
      <c r="D29" s="720" t="s">
        <v>395</v>
      </c>
      <c r="E29" s="720"/>
      <c r="F29" s="720"/>
      <c r="G29" s="720"/>
      <c r="H29" s="720"/>
      <c r="I29" s="720"/>
      <c r="J29" s="720"/>
      <c r="K29" s="721"/>
      <c r="L29" s="220"/>
      <c r="M29" s="221"/>
      <c r="N29" s="222"/>
      <c r="O29" s="223"/>
      <c r="P29" s="224"/>
      <c r="Q29" s="858"/>
      <c r="R29" s="859"/>
      <c r="U29" s="356">
        <v>1</v>
      </c>
      <c r="V29" s="359"/>
      <c r="X29" s="192">
        <f t="shared" si="1"/>
        <v>0</v>
      </c>
      <c r="Z29" s="225">
        <v>0</v>
      </c>
      <c r="AA29" s="226"/>
      <c r="AB29" s="227">
        <v>9</v>
      </c>
      <c r="AC29" s="228"/>
      <c r="AD29" s="226"/>
      <c r="AE29" s="229"/>
    </row>
    <row r="30" spans="2:31" ht="12.9" customHeight="1">
      <c r="B30" s="735">
        <v>18</v>
      </c>
      <c r="C30" s="736"/>
      <c r="D30" s="720" t="s">
        <v>396</v>
      </c>
      <c r="E30" s="720"/>
      <c r="F30" s="720"/>
      <c r="G30" s="720"/>
      <c r="H30" s="720"/>
      <c r="I30" s="720"/>
      <c r="J30" s="720"/>
      <c r="K30" s="721"/>
      <c r="L30" s="204"/>
      <c r="M30" s="230"/>
      <c r="N30" s="231"/>
      <c r="O30" s="218"/>
      <c r="P30" s="219"/>
      <c r="Q30" s="232"/>
      <c r="R30" s="233"/>
      <c r="U30" s="355">
        <v>1</v>
      </c>
      <c r="V30" s="359"/>
      <c r="X30" s="192">
        <f t="shared" si="1"/>
        <v>0</v>
      </c>
      <c r="Z30" s="234">
        <v>0</v>
      </c>
      <c r="AA30" s="235"/>
      <c r="AB30" s="236">
        <v>9</v>
      </c>
      <c r="AC30" s="237"/>
      <c r="AD30" s="235"/>
      <c r="AE30" s="238"/>
    </row>
    <row r="31" spans="2:31" ht="12.9" customHeight="1" thickBot="1">
      <c r="B31" s="735">
        <v>19</v>
      </c>
      <c r="C31" s="736"/>
      <c r="D31" s="433" t="s">
        <v>175</v>
      </c>
      <c r="E31" s="433"/>
      <c r="F31" s="433"/>
      <c r="G31" s="433"/>
      <c r="H31" s="433"/>
      <c r="I31" s="433"/>
      <c r="J31" s="433"/>
      <c r="K31" s="719"/>
      <c r="L31" s="220"/>
      <c r="M31" s="239"/>
      <c r="N31" s="240"/>
      <c r="O31" s="223"/>
      <c r="P31" s="241"/>
      <c r="Q31" s="242"/>
      <c r="R31" s="243"/>
      <c r="U31" s="355">
        <v>1</v>
      </c>
      <c r="V31" s="359"/>
      <c r="X31" s="244">
        <f t="shared" si="1"/>
        <v>0</v>
      </c>
      <c r="Z31" s="245">
        <v>0</v>
      </c>
      <c r="AA31" s="246"/>
      <c r="AB31" s="247">
        <v>9</v>
      </c>
      <c r="AC31" s="248"/>
      <c r="AD31" s="246"/>
      <c r="AE31" s="249"/>
    </row>
    <row r="32" spans="2:31" ht="12.9" customHeight="1" thickBot="1">
      <c r="B32" s="735">
        <v>20</v>
      </c>
      <c r="C32" s="736"/>
      <c r="D32" s="720" t="s">
        <v>329</v>
      </c>
      <c r="E32" s="720"/>
      <c r="F32" s="720"/>
      <c r="G32" s="720"/>
      <c r="H32" s="720"/>
      <c r="I32" s="720"/>
      <c r="J32" s="720"/>
      <c r="K32" s="721"/>
      <c r="L32" s="250"/>
      <c r="M32" s="368"/>
      <c r="N32" s="231"/>
      <c r="O32" s="251" t="s">
        <v>294</v>
      </c>
      <c r="P32" s="252"/>
      <c r="Q32" s="836"/>
      <c r="R32" s="837"/>
      <c r="U32" s="357">
        <v>1</v>
      </c>
      <c r="V32" s="360">
        <v>1</v>
      </c>
      <c r="X32" s="192">
        <f>IF(U32=2,CHOOSE(U32,Z32,AA32), CHOOSE(U32+V32*3-3,Z32,AA32,AB32,AC32,AD32,AE32))</f>
        <v>0</v>
      </c>
      <c r="Z32" s="193">
        <v>0</v>
      </c>
      <c r="AA32" s="193">
        <v>0</v>
      </c>
      <c r="AB32" s="195">
        <v>2</v>
      </c>
      <c r="AC32" s="196">
        <v>2</v>
      </c>
      <c r="AD32" s="196">
        <v>2</v>
      </c>
      <c r="AE32" s="195">
        <v>2</v>
      </c>
    </row>
    <row r="33" spans="2:33" ht="12.9" customHeight="1" thickBot="1">
      <c r="B33" s="735">
        <v>21</v>
      </c>
      <c r="C33" s="736"/>
      <c r="D33" s="739" t="s">
        <v>439</v>
      </c>
      <c r="E33" s="739"/>
      <c r="F33" s="739"/>
      <c r="G33" s="739"/>
      <c r="H33" s="739"/>
      <c r="I33" s="739"/>
      <c r="J33" s="739"/>
      <c r="K33" s="740"/>
      <c r="L33" s="253"/>
      <c r="M33" s="254"/>
      <c r="N33" s="255"/>
      <c r="O33" s="378" t="s">
        <v>178</v>
      </c>
      <c r="P33" s="379"/>
      <c r="Q33" s="380"/>
      <c r="R33" s="256"/>
      <c r="U33" s="358">
        <v>1</v>
      </c>
      <c r="V33" s="360">
        <v>1</v>
      </c>
      <c r="X33" s="192">
        <f>CHOOSE(U33+V33*2-2,Z33,AB33,AC33,AE33)</f>
        <v>0</v>
      </c>
      <c r="Z33" s="193">
        <v>0</v>
      </c>
      <c r="AA33" s="194"/>
      <c r="AB33" s="383">
        <v>9</v>
      </c>
      <c r="AC33" s="384">
        <v>9</v>
      </c>
      <c r="AD33" s="194"/>
      <c r="AE33" s="383">
        <v>9</v>
      </c>
    </row>
    <row r="34" spans="2:33" ht="10.5" customHeight="1">
      <c r="B34" s="257"/>
      <c r="C34" s="726" t="s">
        <v>293</v>
      </c>
      <c r="D34" s="726"/>
      <c r="E34" s="726"/>
      <c r="F34" s="726"/>
      <c r="G34" s="726"/>
      <c r="H34" s="726"/>
      <c r="I34" s="726"/>
      <c r="J34" s="726"/>
      <c r="K34" s="727"/>
      <c r="L34" s="258" t="s">
        <v>214</v>
      </c>
      <c r="M34" s="860" t="s">
        <v>215</v>
      </c>
      <c r="N34" s="861"/>
      <c r="O34" s="259"/>
      <c r="P34" s="260"/>
      <c r="Q34" s="261"/>
      <c r="R34" s="262"/>
      <c r="U34" s="361"/>
      <c r="V34" s="359"/>
      <c r="W34" s="158" t="s">
        <v>335</v>
      </c>
      <c r="X34" s="158">
        <f>MAX(X13:X33)</f>
        <v>1</v>
      </c>
      <c r="Z34" s="263"/>
      <c r="AA34" s="263"/>
      <c r="AB34" s="263"/>
      <c r="AC34" s="376"/>
      <c r="AD34" s="375"/>
      <c r="AE34" s="377" t="s">
        <v>336</v>
      </c>
      <c r="AF34" s="375">
        <f>MAX(X13,X14,X15,X16,X17,X18,X23,X24,X25,X26,X27,X28,X29,X30,X31,X32)</f>
        <v>1</v>
      </c>
      <c r="AG34" s="375" t="s">
        <v>432</v>
      </c>
    </row>
    <row r="35" spans="2:33" ht="9" customHeight="1">
      <c r="B35" s="848">
        <v>22</v>
      </c>
      <c r="C35" s="849"/>
      <c r="D35" s="433" t="s">
        <v>507</v>
      </c>
      <c r="E35" s="830"/>
      <c r="F35" s="830"/>
      <c r="G35" s="830"/>
      <c r="H35" s="830"/>
      <c r="I35" s="830"/>
      <c r="J35" s="830"/>
      <c r="K35" s="831"/>
      <c r="L35" s="264"/>
      <c r="M35" s="265" t="s">
        <v>508</v>
      </c>
      <c r="N35" s="266" t="s">
        <v>260</v>
      </c>
      <c r="O35" s="852" t="str">
        <f>IF(U35=1,"Please confirm! You chose rare case: concentration of lead as impurity is between 300 and 1000ppm","")</f>
        <v/>
      </c>
      <c r="P35" s="853"/>
      <c r="Q35" s="853"/>
      <c r="R35" s="854"/>
      <c r="U35" s="362"/>
      <c r="V35" s="359"/>
      <c r="Z35" s="263"/>
      <c r="AA35" s="263"/>
      <c r="AB35" s="263"/>
      <c r="AC35" s="263"/>
      <c r="AD35" s="263"/>
      <c r="AE35" s="263"/>
    </row>
    <row r="36" spans="2:33" ht="12.75" customHeight="1" thickBot="1">
      <c r="B36" s="850"/>
      <c r="C36" s="851"/>
      <c r="D36" s="832"/>
      <c r="E36" s="832"/>
      <c r="F36" s="832"/>
      <c r="G36" s="832"/>
      <c r="H36" s="832"/>
      <c r="I36" s="832"/>
      <c r="J36" s="832"/>
      <c r="K36" s="833"/>
      <c r="L36" s="253"/>
      <c r="M36" s="267"/>
      <c r="N36" s="255"/>
      <c r="O36" s="855"/>
      <c r="P36" s="856"/>
      <c r="Q36" s="856"/>
      <c r="R36" s="857"/>
      <c r="U36" s="363">
        <v>1</v>
      </c>
      <c r="V36" s="364"/>
      <c r="X36" s="268">
        <f>CHOOSE(U36,Z36,AB36,AC36)</f>
        <v>0</v>
      </c>
      <c r="Z36" s="269">
        <v>0</v>
      </c>
      <c r="AA36" s="270"/>
      <c r="AB36" s="271">
        <v>1</v>
      </c>
      <c r="AC36" s="272">
        <v>2</v>
      </c>
      <c r="AD36" s="270"/>
      <c r="AE36" s="273"/>
    </row>
    <row r="37" spans="2:33" ht="12.9" customHeight="1">
      <c r="B37" s="724">
        <v>23</v>
      </c>
      <c r="C37" s="725"/>
      <c r="D37" s="720" t="s">
        <v>176</v>
      </c>
      <c r="E37" s="720"/>
      <c r="F37" s="720"/>
      <c r="G37" s="720"/>
      <c r="H37" s="720"/>
      <c r="I37" s="720"/>
      <c r="J37" s="720"/>
      <c r="K37" s="721"/>
      <c r="L37" s="204"/>
      <c r="M37" s="231"/>
      <c r="N37" s="274"/>
      <c r="O37" s="275"/>
      <c r="P37" s="276"/>
      <c r="Q37" s="277"/>
      <c r="R37" s="278"/>
      <c r="U37" s="365">
        <v>2</v>
      </c>
      <c r="V37" s="359"/>
      <c r="X37" s="268">
        <f>CHOOSE(U37,Z37,AB37)</f>
        <v>1</v>
      </c>
      <c r="Z37" s="269">
        <v>0</v>
      </c>
      <c r="AA37" s="270"/>
      <c r="AB37" s="271">
        <v>1</v>
      </c>
      <c r="AC37" s="279"/>
      <c r="AD37" s="279"/>
      <c r="AE37" s="279"/>
    </row>
    <row r="38" spans="2:33" ht="12.9" customHeight="1" thickBot="1">
      <c r="B38" s="724">
        <v>24</v>
      </c>
      <c r="C38" s="725"/>
      <c r="D38" s="720" t="s">
        <v>397</v>
      </c>
      <c r="E38" s="720"/>
      <c r="F38" s="720"/>
      <c r="G38" s="720"/>
      <c r="H38" s="720"/>
      <c r="I38" s="720"/>
      <c r="J38" s="720"/>
      <c r="K38" s="721"/>
      <c r="L38" s="204"/>
      <c r="M38" s="231"/>
      <c r="N38" s="280"/>
      <c r="O38" s="280"/>
      <c r="P38" s="281"/>
      <c r="Q38" s="282"/>
      <c r="R38" s="283"/>
      <c r="U38" s="365">
        <v>2</v>
      </c>
      <c r="V38" s="359"/>
      <c r="X38" s="268">
        <f>CHOOSE(U38,Z38,AB38)</f>
        <v>1</v>
      </c>
      <c r="Z38" s="269">
        <v>0</v>
      </c>
      <c r="AA38" s="270"/>
      <c r="AB38" s="271">
        <v>1</v>
      </c>
      <c r="AC38" s="279"/>
      <c r="AD38" s="279"/>
      <c r="AE38" s="279"/>
    </row>
    <row r="39" spans="2:33" ht="10.5" customHeight="1">
      <c r="B39" s="284"/>
      <c r="C39" s="840" t="s">
        <v>167</v>
      </c>
      <c r="D39" s="840"/>
      <c r="E39" s="840"/>
      <c r="F39" s="840"/>
      <c r="G39" s="840"/>
      <c r="H39" s="840"/>
      <c r="I39" s="840"/>
      <c r="J39" s="840"/>
      <c r="K39" s="841"/>
      <c r="L39" s="285" t="s">
        <v>124</v>
      </c>
      <c r="M39" s="286" t="s">
        <v>125</v>
      </c>
      <c r="N39" s="287"/>
      <c r="O39" s="287"/>
      <c r="P39" s="711" t="str">
        <f>IF(ISERROR($X$41),"Some items not selected","")</f>
        <v/>
      </c>
      <c r="Q39" s="712"/>
      <c r="R39" s="713"/>
      <c r="U39" s="366"/>
      <c r="V39" s="359"/>
      <c r="X39" s="288"/>
      <c r="Z39" s="289"/>
      <c r="AA39" s="289"/>
      <c r="AB39" s="289"/>
      <c r="AC39" s="289"/>
      <c r="AD39" s="289"/>
      <c r="AE39" s="289"/>
    </row>
    <row r="40" spans="2:33" ht="12.9" customHeight="1" thickBot="1">
      <c r="B40" s="741">
        <v>25</v>
      </c>
      <c r="C40" s="742"/>
      <c r="D40" s="738" t="s">
        <v>398</v>
      </c>
      <c r="E40" s="739"/>
      <c r="F40" s="739"/>
      <c r="G40" s="739"/>
      <c r="H40" s="739"/>
      <c r="I40" s="739"/>
      <c r="J40" s="739"/>
      <c r="K40" s="740"/>
      <c r="L40" s="290"/>
      <c r="M40" s="291"/>
      <c r="N40" s="292"/>
      <c r="O40" s="292"/>
      <c r="P40" s="714"/>
      <c r="Q40" s="715"/>
      <c r="R40" s="716"/>
      <c r="U40" s="367">
        <v>1</v>
      </c>
      <c r="V40" s="359"/>
      <c r="X40" s="268">
        <f>CHOOSE(U40,Z40,AB40)</f>
        <v>0</v>
      </c>
      <c r="Z40" s="269">
        <v>0</v>
      </c>
      <c r="AA40" s="270"/>
      <c r="AB40" s="271">
        <v>1</v>
      </c>
      <c r="AC40" s="279"/>
      <c r="AD40" s="279"/>
      <c r="AE40" s="279"/>
    </row>
    <row r="41" spans="2:33" s="12" customFormat="1" ht="10.5" customHeight="1">
      <c r="B41" s="722" t="s">
        <v>295</v>
      </c>
      <c r="C41" s="723"/>
      <c r="D41" s="723"/>
      <c r="E41" s="723"/>
      <c r="F41" s="723"/>
      <c r="G41" s="723"/>
      <c r="H41" s="723"/>
      <c r="I41" s="723"/>
      <c r="J41" s="723"/>
      <c r="K41" s="723"/>
      <c r="L41" s="723"/>
      <c r="M41" s="723"/>
      <c r="N41" s="723"/>
      <c r="O41" s="723"/>
      <c r="P41" s="723"/>
      <c r="Q41" s="723"/>
      <c r="R41" s="293"/>
      <c r="T41" s="144"/>
      <c r="U41" s="144"/>
      <c r="V41" s="144"/>
      <c r="W41" s="148"/>
      <c r="X41" s="144">
        <f>MAX(X13:X40)</f>
        <v>1</v>
      </c>
      <c r="Y41" s="144"/>
      <c r="Z41" s="148"/>
      <c r="AA41" s="148"/>
      <c r="AB41" s="148"/>
      <c r="AC41" s="148"/>
      <c r="AD41" s="148"/>
      <c r="AE41" s="144"/>
      <c r="AF41" s="144"/>
      <c r="AG41" s="144"/>
    </row>
    <row r="42" spans="2:33" s="12" customFormat="1" ht="10.5" customHeight="1">
      <c r="B42" s="294"/>
      <c r="C42" s="842" t="s">
        <v>249</v>
      </c>
      <c r="D42" s="842"/>
      <c r="E42" s="842"/>
      <c r="F42" s="842"/>
      <c r="G42" s="842"/>
      <c r="H42" s="842"/>
      <c r="I42" s="842"/>
      <c r="J42" s="842"/>
      <c r="K42" s="842"/>
      <c r="L42" s="842"/>
      <c r="M42" s="842"/>
      <c r="N42" s="842"/>
      <c r="O42" s="842"/>
      <c r="P42" s="842"/>
      <c r="Q42" s="842"/>
      <c r="R42" s="293"/>
      <c r="T42" s="144"/>
      <c r="U42" s="144"/>
      <c r="V42" s="144"/>
      <c r="W42" s="158" t="s">
        <v>337</v>
      </c>
      <c r="X42" s="295" t="str">
        <f>CONCATENATE(X36,X37,X38,X40)</f>
        <v>0110</v>
      </c>
      <c r="Y42" s="144"/>
      <c r="Z42" s="148"/>
      <c r="AA42" s="148"/>
      <c r="AB42" s="148"/>
      <c r="AC42" s="148"/>
      <c r="AD42" s="148"/>
      <c r="AE42" s="144"/>
      <c r="AF42" s="144"/>
      <c r="AG42" s="144"/>
    </row>
    <row r="43" spans="2:33" s="12" customFormat="1" ht="11.25" customHeight="1">
      <c r="B43" s="296"/>
      <c r="C43" s="835" t="s">
        <v>404</v>
      </c>
      <c r="D43" s="835"/>
      <c r="E43" s="835"/>
      <c r="F43" s="835"/>
      <c r="G43" s="835"/>
      <c r="H43" s="835"/>
      <c r="I43" s="835"/>
      <c r="J43" s="835"/>
      <c r="K43" s="835"/>
      <c r="L43" s="835"/>
      <c r="M43" s="835"/>
      <c r="N43" s="835"/>
      <c r="O43" s="835"/>
      <c r="P43" s="835"/>
      <c r="Q43" s="835"/>
      <c r="R43" s="293"/>
      <c r="T43" s="144"/>
      <c r="U43" s="144"/>
      <c r="V43" s="144"/>
      <c r="W43" s="148"/>
      <c r="X43" s="297" t="str">
        <f>CONCATENATE(X36,X37,X38,X40)</f>
        <v>0110</v>
      </c>
      <c r="Y43" s="144"/>
      <c r="Z43" s="148"/>
      <c r="AA43" s="148"/>
      <c r="AB43" s="148"/>
      <c r="AC43" s="148"/>
      <c r="AD43" s="148"/>
      <c r="AE43" s="144"/>
      <c r="AF43" s="144"/>
      <c r="AG43" s="144"/>
    </row>
    <row r="44" spans="2:33" s="12" customFormat="1" ht="11.25" customHeight="1">
      <c r="B44" s="298"/>
      <c r="C44" s="834" t="s">
        <v>496</v>
      </c>
      <c r="D44" s="834"/>
      <c r="E44" s="834"/>
      <c r="F44" s="834"/>
      <c r="G44" s="834"/>
      <c r="H44" s="834"/>
      <c r="I44" s="834"/>
      <c r="J44" s="834"/>
      <c r="K44" s="834"/>
      <c r="L44" s="834"/>
      <c r="M44" s="834"/>
      <c r="N44" s="834"/>
      <c r="O44" s="834"/>
      <c r="P44" s="834"/>
      <c r="Q44" s="834"/>
      <c r="R44" s="293"/>
      <c r="T44" s="144"/>
      <c r="U44" s="148"/>
      <c r="V44" s="151"/>
      <c r="W44" s="144"/>
      <c r="X44" s="144"/>
      <c r="Y44" s="144"/>
      <c r="Z44" s="297"/>
      <c r="AA44" s="144"/>
      <c r="AB44" s="144"/>
      <c r="AC44" s="144"/>
      <c r="AD44" s="144"/>
      <c r="AE44" s="144"/>
      <c r="AF44" s="144"/>
      <c r="AG44" s="144"/>
    </row>
    <row r="45" spans="2:33" s="12" customFormat="1" ht="11.25" customHeight="1">
      <c r="B45" s="298"/>
      <c r="C45" s="834" t="s">
        <v>497</v>
      </c>
      <c r="D45" s="834"/>
      <c r="E45" s="834"/>
      <c r="F45" s="834"/>
      <c r="G45" s="834"/>
      <c r="H45" s="834"/>
      <c r="I45" s="834"/>
      <c r="J45" s="834"/>
      <c r="K45" s="834"/>
      <c r="L45" s="834"/>
      <c r="M45" s="834"/>
      <c r="N45" s="834"/>
      <c r="O45" s="834"/>
      <c r="P45" s="834"/>
      <c r="Q45" s="834"/>
      <c r="R45" s="293"/>
      <c r="T45" s="144"/>
      <c r="U45" s="148"/>
      <c r="V45" s="151"/>
      <c r="W45" s="144"/>
      <c r="X45" s="144"/>
      <c r="Y45" s="144"/>
      <c r="Z45" s="297"/>
      <c r="AA45" s="144"/>
      <c r="AB45" s="144"/>
      <c r="AC45" s="144"/>
      <c r="AD45" s="144"/>
      <c r="AE45" s="144"/>
      <c r="AF45" s="144"/>
      <c r="AG45" s="144"/>
    </row>
    <row r="46" spans="2:33" s="12" customFormat="1" ht="11.25" customHeight="1">
      <c r="B46" s="298"/>
      <c r="C46" s="834"/>
      <c r="D46" s="834"/>
      <c r="E46" s="834"/>
      <c r="F46" s="834"/>
      <c r="G46" s="834"/>
      <c r="H46" s="834"/>
      <c r="I46" s="834"/>
      <c r="J46" s="834"/>
      <c r="K46" s="834"/>
      <c r="L46" s="834"/>
      <c r="M46" s="834"/>
      <c r="N46" s="834"/>
      <c r="O46" s="834"/>
      <c r="P46" s="834"/>
      <c r="Q46" s="834"/>
      <c r="R46" s="293"/>
      <c r="T46" s="144"/>
      <c r="U46" s="144"/>
      <c r="V46" s="151"/>
      <c r="W46" s="144"/>
      <c r="X46" s="144"/>
      <c r="Y46" s="144"/>
      <c r="Z46" s="297"/>
      <c r="AA46" s="144"/>
      <c r="AB46" s="144"/>
      <c r="AC46" s="144"/>
      <c r="AD46" s="144"/>
      <c r="AE46" s="144"/>
      <c r="AF46" s="144"/>
      <c r="AG46" s="144"/>
    </row>
    <row r="47" spans="2:33" s="12" customFormat="1" ht="2.25" customHeight="1" thickBot="1">
      <c r="B47" s="299"/>
      <c r="C47" s="300"/>
      <c r="D47" s="301"/>
      <c r="E47" s="301"/>
      <c r="F47" s="301"/>
      <c r="G47" s="301"/>
      <c r="H47" s="301"/>
      <c r="I47" s="301"/>
      <c r="J47" s="301"/>
      <c r="K47" s="301"/>
      <c r="L47" s="301"/>
      <c r="M47" s="301"/>
      <c r="N47" s="301"/>
      <c r="O47" s="301"/>
      <c r="P47" s="301"/>
      <c r="Q47" s="301"/>
      <c r="R47" s="302"/>
      <c r="T47" s="144"/>
      <c r="U47" s="144"/>
      <c r="V47" s="144"/>
      <c r="W47" s="144"/>
      <c r="X47" s="144"/>
      <c r="Y47" s="144"/>
      <c r="Z47" s="297"/>
      <c r="AA47" s="144"/>
      <c r="AB47" s="144"/>
      <c r="AC47" s="144"/>
      <c r="AD47" s="144"/>
      <c r="AE47" s="144"/>
      <c r="AF47" s="144"/>
      <c r="AG47" s="144"/>
    </row>
    <row r="48" spans="2:33" s="12" customFormat="1" ht="3" customHeight="1">
      <c r="T48" s="144"/>
      <c r="U48" s="144"/>
      <c r="V48" s="144"/>
      <c r="W48" s="144"/>
      <c r="X48" s="144"/>
      <c r="Y48" s="144"/>
      <c r="Z48" s="297"/>
      <c r="AA48" s="144"/>
      <c r="AB48" s="144"/>
      <c r="AC48" s="144"/>
      <c r="AD48" s="144"/>
      <c r="AE48" s="144"/>
      <c r="AF48" s="144"/>
      <c r="AG48" s="144"/>
    </row>
    <row r="49" spans="2:35" s="12" customFormat="1" ht="9" customHeight="1">
      <c r="C49" s="710" t="s">
        <v>399</v>
      </c>
      <c r="D49" s="710"/>
      <c r="E49" s="710"/>
      <c r="F49" s="710"/>
      <c r="G49" s="710"/>
      <c r="H49" s="710"/>
      <c r="I49" s="710"/>
      <c r="J49" s="710"/>
      <c r="K49" s="710"/>
      <c r="L49" s="710"/>
      <c r="M49" s="710"/>
      <c r="N49" s="710"/>
      <c r="O49" s="710"/>
      <c r="P49" s="710"/>
      <c r="Q49" s="710"/>
      <c r="T49" s="144"/>
      <c r="U49" s="144"/>
      <c r="V49" s="144"/>
      <c r="W49" s="144"/>
      <c r="X49" s="144"/>
      <c r="Y49" s="144"/>
      <c r="Z49" s="297"/>
      <c r="AA49" s="144"/>
      <c r="AB49" s="144"/>
      <c r="AC49" s="144"/>
      <c r="AD49" s="144"/>
      <c r="AE49" s="144"/>
      <c r="AF49" s="144"/>
      <c r="AG49" s="144"/>
    </row>
    <row r="50" spans="2:35" s="12" customFormat="1" ht="9" customHeight="1">
      <c r="C50" s="839" t="s">
        <v>298</v>
      </c>
      <c r="D50" s="839"/>
      <c r="E50" s="839"/>
      <c r="F50" s="839"/>
      <c r="G50" s="839"/>
      <c r="H50" s="839"/>
      <c r="I50" s="839"/>
      <c r="J50" s="839"/>
      <c r="K50" s="839"/>
      <c r="L50" s="839"/>
      <c r="M50" s="839"/>
      <c r="N50" s="839"/>
      <c r="O50" s="839"/>
      <c r="P50" s="839"/>
      <c r="Q50" s="839"/>
      <c r="T50" s="144"/>
      <c r="U50" s="144"/>
      <c r="V50" s="144"/>
      <c r="W50" s="144"/>
      <c r="X50" s="144"/>
      <c r="Y50" s="144"/>
      <c r="Z50" s="297"/>
      <c r="AA50" s="144"/>
      <c r="AB50" s="144"/>
      <c r="AC50" s="144"/>
      <c r="AD50" s="144"/>
      <c r="AE50" s="144"/>
      <c r="AF50" s="144"/>
      <c r="AG50" s="144"/>
    </row>
    <row r="51" spans="2:35" s="12" customFormat="1" ht="11.25" customHeight="1">
      <c r="C51" s="843" t="s">
        <v>437</v>
      </c>
      <c r="D51" s="844"/>
      <c r="E51" s="844"/>
      <c r="F51" s="844"/>
      <c r="G51" s="844"/>
      <c r="H51" s="844"/>
      <c r="I51" s="844"/>
      <c r="J51" s="844"/>
      <c r="K51" s="844"/>
      <c r="L51" s="844"/>
      <c r="M51" s="844"/>
      <c r="N51" s="844"/>
      <c r="O51" s="844"/>
      <c r="P51" s="844"/>
      <c r="Q51" s="844"/>
      <c r="T51" s="144"/>
      <c r="U51" s="144"/>
      <c r="V51" s="144"/>
      <c r="W51" s="144"/>
      <c r="X51" s="144"/>
      <c r="Y51" s="144"/>
      <c r="Z51" s="297"/>
      <c r="AA51" s="144"/>
      <c r="AB51" s="144"/>
      <c r="AC51" s="144"/>
      <c r="AD51" s="144"/>
      <c r="AE51" s="144"/>
      <c r="AF51" s="144"/>
      <c r="AG51" s="144"/>
    </row>
    <row r="52" spans="2:35" s="12" customFormat="1" ht="12.75" customHeight="1">
      <c r="C52" s="710" t="s">
        <v>39</v>
      </c>
      <c r="D52" s="710"/>
      <c r="E52" s="710"/>
      <c r="F52" s="710"/>
      <c r="G52" s="710"/>
      <c r="H52" s="710"/>
      <c r="I52" s="710"/>
      <c r="J52" s="710"/>
      <c r="K52" s="710"/>
      <c r="L52" s="710"/>
      <c r="M52" s="710"/>
      <c r="N52" s="710"/>
      <c r="O52" s="710"/>
      <c r="P52" s="710"/>
      <c r="Q52" s="710"/>
      <c r="T52" s="144"/>
      <c r="U52" s="144"/>
      <c r="V52" s="144"/>
      <c r="W52" s="144"/>
      <c r="X52" s="144"/>
      <c r="Y52" s="144"/>
      <c r="Z52" s="297"/>
      <c r="AA52" s="144"/>
      <c r="AB52" s="144"/>
      <c r="AC52" s="144"/>
      <c r="AD52" s="144"/>
      <c r="AE52" s="144"/>
      <c r="AF52" s="144"/>
      <c r="AG52" s="144"/>
    </row>
    <row r="53" spans="2:35" s="12" customFormat="1" ht="9" customHeight="1">
      <c r="C53" s="710" t="s">
        <v>400</v>
      </c>
      <c r="D53" s="710"/>
      <c r="E53" s="710"/>
      <c r="F53" s="710"/>
      <c r="G53" s="710"/>
      <c r="H53" s="710"/>
      <c r="I53" s="710"/>
      <c r="J53" s="710"/>
      <c r="K53" s="710"/>
      <c r="L53" s="710"/>
      <c r="M53" s="710"/>
      <c r="N53" s="710"/>
      <c r="O53" s="710"/>
      <c r="P53" s="710"/>
      <c r="Q53" s="710"/>
      <c r="T53" s="144"/>
      <c r="U53" s="144"/>
      <c r="V53" s="144"/>
      <c r="W53" s="144"/>
      <c r="X53" s="144"/>
      <c r="Y53" s="144"/>
      <c r="Z53" s="297"/>
      <c r="AA53" s="144"/>
      <c r="AB53" s="144"/>
      <c r="AC53" s="144"/>
      <c r="AD53" s="144"/>
      <c r="AE53" s="144"/>
      <c r="AF53" s="144"/>
      <c r="AG53" s="144"/>
    </row>
    <row r="54" spans="2:35" s="12" customFormat="1" ht="9" customHeight="1">
      <c r="C54" s="710" t="s">
        <v>401</v>
      </c>
      <c r="D54" s="710"/>
      <c r="E54" s="710"/>
      <c r="F54" s="710"/>
      <c r="G54" s="710"/>
      <c r="H54" s="710"/>
      <c r="I54" s="710"/>
      <c r="J54" s="710"/>
      <c r="K54" s="710"/>
      <c r="L54" s="710"/>
      <c r="M54" s="710"/>
      <c r="N54" s="710"/>
      <c r="O54" s="710"/>
      <c r="P54" s="710"/>
      <c r="Q54" s="710"/>
      <c r="T54" s="144"/>
      <c r="U54" s="144"/>
      <c r="V54" s="144"/>
      <c r="W54" s="144"/>
      <c r="X54" s="144"/>
      <c r="Y54" s="144"/>
      <c r="Z54" s="297"/>
      <c r="AA54" s="144"/>
      <c r="AB54" s="144"/>
      <c r="AC54" s="144"/>
      <c r="AD54" s="144"/>
      <c r="AE54" s="144"/>
      <c r="AF54" s="144"/>
      <c r="AG54" s="144"/>
    </row>
    <row r="55" spans="2:35" s="12" customFormat="1" ht="11.25" customHeight="1">
      <c r="C55" s="710" t="s">
        <v>402</v>
      </c>
      <c r="D55" s="710"/>
      <c r="E55" s="710"/>
      <c r="F55" s="710"/>
      <c r="G55" s="710"/>
      <c r="H55" s="710"/>
      <c r="I55" s="710"/>
      <c r="J55" s="710"/>
      <c r="K55" s="710"/>
      <c r="L55" s="710"/>
      <c r="M55" s="710"/>
      <c r="N55" s="710"/>
      <c r="O55" s="710"/>
      <c r="P55" s="710"/>
      <c r="Q55" s="710"/>
      <c r="T55" s="144"/>
      <c r="U55" s="144"/>
      <c r="V55" s="144"/>
      <c r="W55" s="144"/>
      <c r="X55" s="144"/>
      <c r="Y55" s="144"/>
      <c r="Z55" s="297"/>
      <c r="AA55" s="144"/>
      <c r="AB55" s="144"/>
      <c r="AC55" s="144"/>
      <c r="AD55" s="144"/>
      <c r="AE55" s="144"/>
      <c r="AF55" s="144"/>
      <c r="AG55" s="144"/>
    </row>
    <row r="56" spans="2:35" s="12" customFormat="1" ht="20.25" customHeight="1" thickBot="1">
      <c r="C56" s="750" t="s">
        <v>40</v>
      </c>
      <c r="D56" s="750"/>
      <c r="E56" s="750"/>
      <c r="F56" s="750"/>
      <c r="G56" s="750"/>
      <c r="H56" s="750"/>
      <c r="I56" s="750"/>
      <c r="J56" s="750"/>
      <c r="K56" s="750"/>
      <c r="L56" s="750"/>
      <c r="M56" s="750"/>
      <c r="N56" s="750"/>
      <c r="O56" s="750"/>
      <c r="P56" s="750"/>
      <c r="Q56" s="750"/>
      <c r="T56" s="144"/>
      <c r="U56" s="144"/>
      <c r="V56" s="144"/>
      <c r="W56" s="144"/>
      <c r="X56" s="144"/>
      <c r="Y56" s="144"/>
      <c r="Z56" s="297"/>
      <c r="AA56" s="144"/>
      <c r="AB56" s="144"/>
      <c r="AC56" s="144"/>
      <c r="AD56" s="144"/>
      <c r="AE56" s="144"/>
      <c r="AF56" s="144"/>
      <c r="AG56" s="144"/>
    </row>
    <row r="57" spans="2:35" s="12" customFormat="1" ht="14.25" customHeight="1">
      <c r="B57" s="160"/>
      <c r="C57" s="749" t="s">
        <v>343</v>
      </c>
      <c r="D57" s="749"/>
      <c r="E57" s="749"/>
      <c r="F57" s="749"/>
      <c r="G57" s="749"/>
      <c r="H57" s="749"/>
      <c r="I57" s="749"/>
      <c r="J57" s="161"/>
      <c r="K57" s="161"/>
      <c r="L57" s="784" t="s">
        <v>185</v>
      </c>
      <c r="M57" s="784"/>
      <c r="N57" s="303" t="s">
        <v>186</v>
      </c>
      <c r="O57" s="754" t="s">
        <v>513</v>
      </c>
      <c r="P57" s="754"/>
      <c r="Q57" s="304" t="s">
        <v>187</v>
      </c>
      <c r="R57" s="293"/>
      <c r="T57" s="144"/>
      <c r="U57" s="144"/>
      <c r="V57" s="144"/>
      <c r="W57" s="144"/>
      <c r="X57" s="144"/>
      <c r="Y57" s="144"/>
      <c r="Z57" s="297"/>
      <c r="AA57" s="144"/>
      <c r="AB57" s="144"/>
      <c r="AC57" s="144"/>
      <c r="AD57" s="144"/>
      <c r="AE57" s="144"/>
      <c r="AF57" s="144"/>
      <c r="AG57" s="144"/>
      <c r="AI57" s="305"/>
    </row>
    <row r="58" spans="2:35" s="12" customFormat="1" ht="18.75" customHeight="1">
      <c r="B58" s="306"/>
      <c r="C58" s="747" t="s">
        <v>41</v>
      </c>
      <c r="D58" s="747"/>
      <c r="E58" s="753" t="s">
        <v>511</v>
      </c>
      <c r="F58" s="752"/>
      <c r="G58" s="752"/>
      <c r="H58" s="752"/>
      <c r="I58" s="752"/>
      <c r="J58" s="752"/>
      <c r="K58" s="752"/>
      <c r="L58" s="421" t="s">
        <v>183</v>
      </c>
      <c r="M58" s="751" t="s">
        <v>504</v>
      </c>
      <c r="N58" s="752"/>
      <c r="O58" s="752"/>
      <c r="P58" s="752"/>
      <c r="Q58" s="752"/>
      <c r="R58" s="293"/>
      <c r="T58" s="144"/>
      <c r="U58" s="144"/>
      <c r="V58" s="144"/>
      <c r="W58" s="144"/>
      <c r="X58" s="144"/>
      <c r="Y58" s="144"/>
      <c r="Z58" s="144"/>
      <c r="AA58" s="144"/>
      <c r="AB58" s="144"/>
      <c r="AC58" s="144"/>
      <c r="AD58" s="144"/>
      <c r="AE58" s="144"/>
      <c r="AF58" s="144"/>
      <c r="AG58" s="144"/>
    </row>
    <row r="59" spans="2:35" s="12" customFormat="1" ht="15.75" customHeight="1">
      <c r="B59" s="746" t="s">
        <v>54</v>
      </c>
      <c r="C59" s="747"/>
      <c r="D59" s="747"/>
      <c r="E59" s="845" t="s">
        <v>498</v>
      </c>
      <c r="F59" s="845"/>
      <c r="G59" s="845"/>
      <c r="H59" s="845"/>
      <c r="I59" s="845"/>
      <c r="J59" s="845"/>
      <c r="K59" s="845"/>
      <c r="L59" s="422" t="s">
        <v>53</v>
      </c>
      <c r="M59" s="838" t="s">
        <v>499</v>
      </c>
      <c r="N59" s="838"/>
      <c r="O59" s="838"/>
      <c r="P59" s="838"/>
      <c r="Q59" s="838"/>
      <c r="R59" s="293"/>
      <c r="T59" s="144"/>
      <c r="U59" s="144"/>
      <c r="V59" s="144"/>
      <c r="W59" s="144"/>
      <c r="X59" s="144"/>
      <c r="Y59" s="144"/>
      <c r="Z59" s="144"/>
      <c r="AA59" s="144"/>
      <c r="AB59" s="144"/>
      <c r="AC59" s="144"/>
      <c r="AD59" s="144"/>
      <c r="AE59" s="144"/>
      <c r="AF59" s="144"/>
      <c r="AG59" s="144"/>
    </row>
    <row r="60" spans="2:35" s="12" customFormat="1" ht="14.25" customHeight="1">
      <c r="B60" s="746"/>
      <c r="C60" s="747"/>
      <c r="D60" s="747"/>
      <c r="E60" s="748"/>
      <c r="F60" s="748"/>
      <c r="G60" s="748"/>
      <c r="H60" s="748"/>
      <c r="I60" s="748"/>
      <c r="J60" s="748"/>
      <c r="K60" s="748"/>
      <c r="L60" s="423"/>
      <c r="M60" s="838"/>
      <c r="N60" s="838"/>
      <c r="O60" s="838"/>
      <c r="P60" s="838"/>
      <c r="Q60" s="838"/>
      <c r="R60" s="293"/>
      <c r="T60" s="144"/>
      <c r="U60" s="144"/>
      <c r="V60" s="144"/>
      <c r="W60" s="144"/>
      <c r="X60" s="144"/>
      <c r="Y60" s="144"/>
      <c r="Z60" s="144"/>
      <c r="AA60" s="144"/>
      <c r="AB60" s="144"/>
      <c r="AC60" s="144"/>
      <c r="AD60" s="144"/>
      <c r="AE60" s="144"/>
      <c r="AF60" s="144"/>
      <c r="AG60" s="144"/>
    </row>
    <row r="61" spans="2:35" s="12" customFormat="1" ht="15.75" customHeight="1">
      <c r="B61" s="785" t="s">
        <v>52</v>
      </c>
      <c r="C61" s="786"/>
      <c r="D61" s="786"/>
      <c r="E61" s="748" t="s">
        <v>500</v>
      </c>
      <c r="F61" s="748"/>
      <c r="G61" s="748"/>
      <c r="H61" s="748"/>
      <c r="I61" s="748"/>
      <c r="J61" s="748"/>
      <c r="K61" s="748"/>
      <c r="L61" s="424" t="s">
        <v>184</v>
      </c>
      <c r="M61" s="838" t="s">
        <v>501</v>
      </c>
      <c r="N61" s="838"/>
      <c r="O61" s="838"/>
      <c r="P61" s="838"/>
      <c r="Q61" s="838"/>
      <c r="R61" s="293"/>
      <c r="T61" s="144"/>
      <c r="Z61" s="144"/>
      <c r="AA61" s="144"/>
      <c r="AB61" s="144"/>
      <c r="AC61" s="144"/>
      <c r="AD61" s="144"/>
      <c r="AE61" s="144"/>
      <c r="AF61" s="144"/>
      <c r="AG61" s="144"/>
    </row>
    <row r="62" spans="2:35" s="12" customFormat="1" ht="14.25" customHeight="1">
      <c r="B62" s="746" t="s">
        <v>50</v>
      </c>
      <c r="C62" s="747"/>
      <c r="D62" s="747"/>
      <c r="E62" s="748" t="s">
        <v>506</v>
      </c>
      <c r="F62" s="748"/>
      <c r="G62" s="748"/>
      <c r="H62" s="748"/>
      <c r="I62" s="748"/>
      <c r="J62" s="748"/>
      <c r="K62" s="748"/>
      <c r="L62" s="425"/>
      <c r="M62" s="765"/>
      <c r="N62" s="765"/>
      <c r="O62" s="765"/>
      <c r="P62" s="765"/>
      <c r="Q62" s="765"/>
      <c r="R62" s="293"/>
      <c r="T62" s="144"/>
      <c r="Z62" s="144"/>
      <c r="AA62" s="144"/>
      <c r="AB62" s="144"/>
      <c r="AC62" s="144"/>
      <c r="AD62" s="144"/>
      <c r="AE62" s="144"/>
      <c r="AF62" s="144"/>
      <c r="AG62" s="144"/>
    </row>
    <row r="63" spans="2:35" s="12" customFormat="1" ht="17.399999999999999" customHeight="1">
      <c r="B63" s="772" t="s">
        <v>51</v>
      </c>
      <c r="C63" s="773"/>
      <c r="D63" s="773"/>
      <c r="E63" s="774" t="s">
        <v>505</v>
      </c>
      <c r="F63" s="774"/>
      <c r="G63" s="774"/>
      <c r="H63" s="774"/>
      <c r="I63" s="774"/>
      <c r="J63" s="774"/>
      <c r="K63" s="774"/>
      <c r="L63" s="425" t="s">
        <v>503</v>
      </c>
      <c r="M63" s="766"/>
      <c r="N63" s="766"/>
      <c r="O63" s="766"/>
      <c r="P63" s="766"/>
      <c r="Q63" s="766"/>
      <c r="R63" s="293"/>
      <c r="T63" s="144"/>
      <c r="Z63" s="144"/>
      <c r="AA63" s="144"/>
      <c r="AB63" s="144"/>
      <c r="AC63" s="144"/>
      <c r="AD63" s="144"/>
      <c r="AE63" s="144"/>
      <c r="AF63" s="144"/>
      <c r="AG63" s="144"/>
    </row>
    <row r="64" spans="2:35" s="12" customFormat="1" ht="13.5" customHeight="1" thickBot="1">
      <c r="B64" s="299"/>
      <c r="C64" s="300"/>
      <c r="D64" s="307"/>
      <c r="E64" s="308"/>
      <c r="F64" s="308"/>
      <c r="G64" s="308"/>
      <c r="H64" s="308"/>
      <c r="I64" s="308"/>
      <c r="J64" s="308"/>
      <c r="K64" s="308"/>
      <c r="L64" s="781" t="s">
        <v>42</v>
      </c>
      <c r="M64" s="782"/>
      <c r="N64" s="782"/>
      <c r="O64" s="782"/>
      <c r="P64" s="782"/>
      <c r="Q64" s="782"/>
      <c r="R64" s="783"/>
      <c r="T64" s="144"/>
      <c r="Z64" s="144"/>
      <c r="AA64" s="144"/>
      <c r="AB64" s="144"/>
      <c r="AC64" s="144"/>
      <c r="AD64" s="144"/>
      <c r="AE64" s="144"/>
      <c r="AF64" s="144"/>
      <c r="AG64" s="144"/>
    </row>
    <row r="65" spans="1:33" s="12" customFormat="1" ht="6" customHeight="1" thickBot="1">
      <c r="T65" s="144"/>
      <c r="U65" s="144"/>
      <c r="V65" s="144"/>
      <c r="W65" s="144"/>
      <c r="X65" s="144"/>
      <c r="Y65" s="144"/>
      <c r="Z65" s="144"/>
      <c r="AA65" s="144"/>
      <c r="AB65" s="144"/>
      <c r="AC65" s="144"/>
      <c r="AD65" s="144"/>
      <c r="AE65" s="144"/>
      <c r="AF65" s="144"/>
      <c r="AG65" s="144"/>
    </row>
    <row r="66" spans="1:33" s="12" customFormat="1" ht="11.25" customHeight="1">
      <c r="A66" s="309"/>
      <c r="B66" s="309"/>
      <c r="C66" s="775" t="s">
        <v>494</v>
      </c>
      <c r="D66" s="775"/>
      <c r="E66" s="775"/>
      <c r="F66" s="775"/>
      <c r="G66" s="775"/>
      <c r="H66" s="775"/>
      <c r="I66" s="310"/>
      <c r="J66" s="310"/>
      <c r="K66" s="310"/>
      <c r="L66" s="310"/>
      <c r="M66" s="310"/>
      <c r="N66" s="310"/>
      <c r="O66" s="310"/>
      <c r="P66" s="310"/>
      <c r="Q66" s="310"/>
      <c r="R66" s="309"/>
      <c r="S66" s="309"/>
      <c r="T66" s="144"/>
      <c r="U66" s="144"/>
      <c r="V66" s="144"/>
      <c r="W66" s="144"/>
      <c r="X66" s="144"/>
      <c r="Y66" s="144"/>
      <c r="Z66" s="144"/>
      <c r="AA66" s="144"/>
      <c r="AB66" s="144"/>
      <c r="AC66" s="144"/>
      <c r="AD66" s="144"/>
      <c r="AE66" s="144"/>
      <c r="AF66" s="144"/>
      <c r="AG66" s="144"/>
    </row>
    <row r="67" spans="1:33" s="12" customFormat="1" ht="5.25" customHeight="1">
      <c r="B67" s="311"/>
      <c r="C67" s="312"/>
      <c r="D67" s="313"/>
      <c r="E67" s="313"/>
      <c r="F67" s="313"/>
      <c r="G67" s="313"/>
      <c r="H67" s="313"/>
      <c r="I67" s="313"/>
      <c r="J67" s="313"/>
      <c r="K67" s="313"/>
      <c r="L67" s="313"/>
      <c r="M67" s="313"/>
      <c r="N67" s="313"/>
      <c r="O67" s="313"/>
      <c r="P67" s="313"/>
      <c r="Q67" s="313"/>
      <c r="R67" s="314"/>
      <c r="S67" s="53"/>
      <c r="T67" s="315"/>
      <c r="U67" s="144"/>
      <c r="V67" s="144"/>
      <c r="W67" s="144"/>
      <c r="X67" s="144"/>
      <c r="Y67" s="144"/>
      <c r="Z67" s="144"/>
      <c r="AA67" s="144"/>
      <c r="AB67" s="144"/>
      <c r="AC67" s="144"/>
      <c r="AD67" s="144"/>
      <c r="AE67" s="144"/>
      <c r="AF67" s="144"/>
      <c r="AG67" s="144"/>
    </row>
    <row r="68" spans="1:33" s="12" customFormat="1" ht="12" customHeight="1">
      <c r="B68" s="316"/>
      <c r="C68" s="317"/>
      <c r="D68" s="759" t="s">
        <v>43</v>
      </c>
      <c r="E68" s="759"/>
      <c r="F68" s="760"/>
      <c r="G68" s="760"/>
      <c r="H68" s="760"/>
      <c r="I68" s="760"/>
      <c r="J68" s="760"/>
      <c r="K68" s="760"/>
      <c r="L68" s="760"/>
      <c r="M68" s="760"/>
      <c r="N68" s="318"/>
      <c r="O68" s="319"/>
      <c r="P68" s="319"/>
      <c r="Q68" s="319"/>
      <c r="R68" s="320"/>
      <c r="S68" s="53"/>
      <c r="T68" s="315"/>
      <c r="U68" s="144"/>
      <c r="V68" s="144"/>
      <c r="W68" s="144"/>
      <c r="X68" s="144"/>
      <c r="Y68" s="144"/>
      <c r="Z68" s="144"/>
      <c r="AA68" s="144"/>
      <c r="AB68" s="144"/>
      <c r="AC68" s="144"/>
      <c r="AD68" s="144"/>
      <c r="AE68" s="144"/>
      <c r="AF68" s="144"/>
      <c r="AG68" s="144"/>
    </row>
    <row r="69" spans="1:33" s="12" customFormat="1" ht="12" customHeight="1">
      <c r="B69" s="316"/>
      <c r="C69" s="317"/>
      <c r="D69" s="760"/>
      <c r="E69" s="760"/>
      <c r="F69" s="760"/>
      <c r="G69" s="760"/>
      <c r="H69" s="760"/>
      <c r="I69" s="760"/>
      <c r="J69" s="760"/>
      <c r="K69" s="760"/>
      <c r="L69" s="760"/>
      <c r="M69" s="760"/>
      <c r="N69" s="321"/>
      <c r="O69" s="319"/>
      <c r="P69" s="319"/>
      <c r="Q69" s="319"/>
      <c r="R69" s="320"/>
      <c r="S69" s="53"/>
      <c r="T69" s="315"/>
      <c r="U69" s="144"/>
      <c r="V69" s="144"/>
      <c r="W69" s="144"/>
      <c r="X69" s="144"/>
      <c r="Y69" s="144"/>
      <c r="Z69" s="144"/>
      <c r="AA69" s="144"/>
      <c r="AB69" s="144"/>
      <c r="AC69" s="144"/>
      <c r="AD69" s="144"/>
      <c r="AE69" s="144"/>
      <c r="AF69" s="144"/>
      <c r="AG69" s="144"/>
    </row>
    <row r="70" spans="1:33" s="12" customFormat="1" ht="12" customHeight="1">
      <c r="B70" s="316"/>
      <c r="C70" s="317"/>
      <c r="D70" s="758"/>
      <c r="E70" s="758"/>
      <c r="F70" s="758"/>
      <c r="G70" s="758"/>
      <c r="H70" s="758"/>
      <c r="I70" s="758"/>
      <c r="J70" s="758"/>
      <c r="K70" s="758"/>
      <c r="L70" s="758"/>
      <c r="M70" s="758"/>
      <c r="N70" s="321"/>
      <c r="O70" s="321"/>
      <c r="P70" s="321"/>
      <c r="Q70" s="321"/>
      <c r="R70" s="320"/>
      <c r="S70" s="53"/>
      <c r="T70" s="315"/>
      <c r="U70" s="144"/>
      <c r="V70" s="144"/>
      <c r="W70" s="144"/>
      <c r="X70" s="144"/>
      <c r="Y70" s="144"/>
      <c r="Z70" s="144"/>
      <c r="AA70" s="144"/>
      <c r="AB70" s="144"/>
      <c r="AC70" s="144"/>
      <c r="AD70" s="144"/>
      <c r="AE70" s="144"/>
      <c r="AF70" s="144"/>
      <c r="AG70" s="144"/>
    </row>
    <row r="71" spans="1:33" s="12" customFormat="1" ht="12" customHeight="1">
      <c r="B71" s="316"/>
      <c r="C71" s="317"/>
      <c r="D71" s="758"/>
      <c r="E71" s="758"/>
      <c r="F71" s="758"/>
      <c r="G71" s="758"/>
      <c r="H71" s="758"/>
      <c r="I71" s="758"/>
      <c r="J71" s="758"/>
      <c r="K71" s="758"/>
      <c r="L71" s="758"/>
      <c r="M71" s="758"/>
      <c r="N71" s="321"/>
      <c r="O71" s="321"/>
      <c r="P71" s="321"/>
      <c r="Q71" s="321"/>
      <c r="R71" s="320"/>
      <c r="S71" s="53"/>
      <c r="T71" s="315"/>
      <c r="U71" s="144"/>
      <c r="V71" s="144"/>
      <c r="W71" s="144"/>
      <c r="X71" s="144"/>
      <c r="Y71" s="144"/>
      <c r="Z71" s="144"/>
      <c r="AA71" s="144"/>
      <c r="AB71" s="144"/>
      <c r="AC71" s="144"/>
      <c r="AD71" s="144"/>
      <c r="AE71" s="144"/>
      <c r="AF71" s="144"/>
      <c r="AG71" s="144"/>
    </row>
    <row r="72" spans="1:33" s="12" customFormat="1" ht="12" customHeight="1">
      <c r="B72" s="316"/>
      <c r="C72" s="317"/>
      <c r="D72" s="758"/>
      <c r="E72" s="758"/>
      <c r="F72" s="758"/>
      <c r="G72" s="758"/>
      <c r="H72" s="758"/>
      <c r="I72" s="758"/>
      <c r="J72" s="758"/>
      <c r="K72" s="758"/>
      <c r="L72" s="758"/>
      <c r="M72" s="758"/>
      <c r="N72" s="321"/>
      <c r="O72" s="321"/>
      <c r="P72" s="321"/>
      <c r="Q72" s="321"/>
      <c r="R72" s="320"/>
      <c r="S72" s="53"/>
      <c r="T72" s="315"/>
      <c r="U72" s="144"/>
      <c r="V72" s="144"/>
      <c r="W72" s="144"/>
      <c r="X72" s="144"/>
      <c r="Y72" s="144"/>
      <c r="Z72" s="144"/>
      <c r="AA72" s="144"/>
      <c r="AB72" s="144"/>
      <c r="AC72" s="144"/>
      <c r="AD72" s="144"/>
      <c r="AE72" s="144"/>
      <c r="AF72" s="144"/>
      <c r="AG72" s="144"/>
    </row>
    <row r="73" spans="1:33" s="12" customFormat="1" ht="6" customHeight="1" thickBot="1">
      <c r="B73" s="316"/>
      <c r="C73" s="317"/>
      <c r="D73" s="322"/>
      <c r="E73" s="322"/>
      <c r="F73" s="322"/>
      <c r="G73" s="322"/>
      <c r="H73" s="322"/>
      <c r="I73" s="322"/>
      <c r="J73" s="322"/>
      <c r="K73" s="322"/>
      <c r="L73" s="322"/>
      <c r="M73" s="322"/>
      <c r="N73" s="315"/>
      <c r="O73" s="321"/>
      <c r="P73" s="321"/>
      <c r="Q73" s="321"/>
      <c r="R73" s="320"/>
      <c r="S73" s="53"/>
      <c r="T73" s="315"/>
      <c r="U73" s="144"/>
      <c r="V73" s="144"/>
      <c r="W73" s="144"/>
      <c r="X73" s="144"/>
      <c r="Y73" s="144"/>
      <c r="Z73" s="144"/>
      <c r="AA73" s="144"/>
      <c r="AB73" s="144"/>
      <c r="AC73" s="144"/>
      <c r="AD73" s="144"/>
      <c r="AE73" s="144"/>
      <c r="AF73" s="144"/>
      <c r="AG73" s="144"/>
    </row>
    <row r="74" spans="1:33" s="12" customFormat="1" ht="19.2" customHeight="1">
      <c r="B74" s="316"/>
      <c r="C74" s="761" t="s">
        <v>49</v>
      </c>
      <c r="D74" s="762"/>
      <c r="E74" s="776"/>
      <c r="F74" s="777"/>
      <c r="G74" s="777"/>
      <c r="H74" s="323" t="s">
        <v>199</v>
      </c>
      <c r="I74" s="778" t="str">
        <f>+IF(ISERROR($X$34),"Some items not selected.",+IF(X34=0,"OK：1-21(0,1,2,9)",+IF(X34=1,"1-21(0,1,2,9)", "1-6,11-21( 0,1,2,9)")))</f>
        <v>1-21(0,1,2,9)</v>
      </c>
      <c r="J74" s="779"/>
      <c r="K74" s="779"/>
      <c r="L74" s="779"/>
      <c r="M74" s="779"/>
      <c r="N74" s="324">
        <f>IF(ISERROR($X$34),"Some ites not selected",X34)</f>
        <v>1</v>
      </c>
      <c r="O74" s="325" t="s">
        <v>44</v>
      </c>
      <c r="P74" s="777"/>
      <c r="Q74" s="780"/>
      <c r="R74" s="320"/>
      <c r="S74" s="53"/>
      <c r="T74" s="315"/>
      <c r="U74" s="144"/>
      <c r="V74" s="144"/>
      <c r="W74" s="144"/>
      <c r="X74" s="144"/>
      <c r="Y74" s="144"/>
      <c r="Z74" s="144"/>
      <c r="AA74" s="144"/>
      <c r="AB74" s="144"/>
      <c r="AC74" s="144"/>
      <c r="AD74" s="144"/>
      <c r="AE74" s="144"/>
      <c r="AF74" s="144"/>
      <c r="AG74" s="144"/>
    </row>
    <row r="75" spans="1:33" s="12" customFormat="1" ht="18" customHeight="1" thickBot="1">
      <c r="B75" s="316"/>
      <c r="C75" s="763"/>
      <c r="D75" s="764"/>
      <c r="E75" s="767"/>
      <c r="F75" s="768"/>
      <c r="G75" s="768"/>
      <c r="H75" s="326" t="str">
        <f>IF(ISERROR($X$41),"Some items not selected.","Rev.11")</f>
        <v>Rev.11</v>
      </c>
      <c r="I75" s="755" t="str">
        <f>+IF(ISERROR($X$42),"Some items not selected","22(0,1,2) 23(0,1)  24(0,1)  25(0,1)")</f>
        <v>22(0,1,2) 23(0,1)  24(0,1)  25(0,1)</v>
      </c>
      <c r="J75" s="756"/>
      <c r="K75" s="756"/>
      <c r="L75" s="756"/>
      <c r="M75" s="757"/>
      <c r="N75" s="327" t="str">
        <f>IF(ISERROR($X$42),"Some items not selected",$X$42)</f>
        <v>0110</v>
      </c>
      <c r="O75" s="769"/>
      <c r="P75" s="770"/>
      <c r="Q75" s="771"/>
      <c r="R75" s="320"/>
      <c r="S75" s="53"/>
      <c r="T75" s="315"/>
      <c r="U75" s="144"/>
      <c r="V75" s="144"/>
      <c r="W75" s="144"/>
      <c r="X75" s="144"/>
      <c r="Y75" s="144"/>
      <c r="Z75" s="144"/>
      <c r="AA75" s="144"/>
      <c r="AB75" s="144"/>
      <c r="AC75" s="144"/>
      <c r="AD75" s="144"/>
      <c r="AE75" s="144"/>
      <c r="AF75" s="144"/>
      <c r="AG75" s="144"/>
    </row>
    <row r="76" spans="1:33" s="12" customFormat="1" ht="2.25" customHeight="1">
      <c r="B76" s="328"/>
      <c r="C76" s="329"/>
      <c r="D76" s="329"/>
      <c r="E76" s="329"/>
      <c r="F76" s="329"/>
      <c r="G76" s="329"/>
      <c r="H76" s="329"/>
      <c r="I76" s="329"/>
      <c r="J76" s="329"/>
      <c r="K76" s="329"/>
      <c r="L76" s="329"/>
      <c r="M76" s="329"/>
      <c r="N76" s="329"/>
      <c r="O76" s="329"/>
      <c r="P76" s="329"/>
      <c r="Q76" s="329"/>
      <c r="R76" s="330"/>
      <c r="S76" s="331"/>
      <c r="T76" s="317"/>
      <c r="U76" s="144"/>
      <c r="V76" s="144"/>
      <c r="W76" s="144"/>
      <c r="X76" s="144"/>
      <c r="Y76" s="144"/>
      <c r="Z76" s="144"/>
      <c r="AA76" s="144"/>
      <c r="AB76" s="144"/>
      <c r="AC76" s="144"/>
      <c r="AD76" s="144"/>
      <c r="AE76" s="144"/>
      <c r="AF76" s="144"/>
      <c r="AG76" s="144"/>
    </row>
    <row r="87" spans="9:9" ht="13.2">
      <c r="I87" s="12"/>
    </row>
  </sheetData>
  <sheetProtection formatCells="0"/>
  <mergeCells count="149">
    <mergeCell ref="B1:Q1"/>
    <mergeCell ref="B35:C36"/>
    <mergeCell ref="B31:C31"/>
    <mergeCell ref="B13:C13"/>
    <mergeCell ref="D29:K29"/>
    <mergeCell ref="B29:C29"/>
    <mergeCell ref="B24:C24"/>
    <mergeCell ref="B28:C28"/>
    <mergeCell ref="O35:R36"/>
    <mergeCell ref="Q26:R26"/>
    <mergeCell ref="Q29:R29"/>
    <mergeCell ref="B26:C26"/>
    <mergeCell ref="M34:N34"/>
    <mergeCell ref="B33:C33"/>
    <mergeCell ref="B32:C32"/>
    <mergeCell ref="Q15:R15"/>
    <mergeCell ref="O9:R9"/>
    <mergeCell ref="Q11:R11"/>
    <mergeCell ref="J4:Q4"/>
    <mergeCell ref="G4:I4"/>
    <mergeCell ref="D33:K33"/>
    <mergeCell ref="B11:K11"/>
    <mergeCell ref="B5:F5"/>
    <mergeCell ref="J6:P6"/>
    <mergeCell ref="E61:K61"/>
    <mergeCell ref="C52:Q52"/>
    <mergeCell ref="D35:K36"/>
    <mergeCell ref="C46:Q46"/>
    <mergeCell ref="C43:Q43"/>
    <mergeCell ref="Q32:R32"/>
    <mergeCell ref="B30:C30"/>
    <mergeCell ref="C45:Q45"/>
    <mergeCell ref="D32:K32"/>
    <mergeCell ref="B40:C40"/>
    <mergeCell ref="D38:K38"/>
    <mergeCell ref="M61:Q61"/>
    <mergeCell ref="B60:D60"/>
    <mergeCell ref="M59:Q59"/>
    <mergeCell ref="C50:Q50"/>
    <mergeCell ref="C39:K39"/>
    <mergeCell ref="D30:K30"/>
    <mergeCell ref="D40:K40"/>
    <mergeCell ref="C44:Q44"/>
    <mergeCell ref="C42:Q42"/>
    <mergeCell ref="C51:Q51"/>
    <mergeCell ref="B37:C37"/>
    <mergeCell ref="M60:Q60"/>
    <mergeCell ref="E59:K59"/>
    <mergeCell ref="AC5:AE5"/>
    <mergeCell ref="D13:K13"/>
    <mergeCell ref="Q14:R14"/>
    <mergeCell ref="AC6:AC11"/>
    <mergeCell ref="AD6:AD11"/>
    <mergeCell ref="AE6:AE11"/>
    <mergeCell ref="Q6:R6"/>
    <mergeCell ref="C8:K8"/>
    <mergeCell ref="C12:K12"/>
    <mergeCell ref="J5:P5"/>
    <mergeCell ref="Z5:AB5"/>
    <mergeCell ref="AA6:AA11"/>
    <mergeCell ref="AB6:AB11"/>
    <mergeCell ref="X5:X11"/>
    <mergeCell ref="Z6:Z11"/>
    <mergeCell ref="V5:V11"/>
    <mergeCell ref="P10:R10"/>
    <mergeCell ref="Q5:R5"/>
    <mergeCell ref="G5:I5"/>
    <mergeCell ref="G6:I6"/>
    <mergeCell ref="L9:N9"/>
    <mergeCell ref="B10:K10"/>
    <mergeCell ref="U5:U11"/>
    <mergeCell ref="Q13:R13"/>
    <mergeCell ref="I75:M75"/>
    <mergeCell ref="D70:M70"/>
    <mergeCell ref="D68:E68"/>
    <mergeCell ref="D69:M69"/>
    <mergeCell ref="F68:M68"/>
    <mergeCell ref="C53:Q53"/>
    <mergeCell ref="C54:Q54"/>
    <mergeCell ref="C74:D75"/>
    <mergeCell ref="M62:Q63"/>
    <mergeCell ref="E75:G75"/>
    <mergeCell ref="O75:Q75"/>
    <mergeCell ref="D72:M72"/>
    <mergeCell ref="D71:M71"/>
    <mergeCell ref="B63:D63"/>
    <mergeCell ref="B62:D62"/>
    <mergeCell ref="E63:K63"/>
    <mergeCell ref="C66:H66"/>
    <mergeCell ref="E74:G74"/>
    <mergeCell ref="I74:M74"/>
    <mergeCell ref="P74:Q74"/>
    <mergeCell ref="E62:K62"/>
    <mergeCell ref="L64:R64"/>
    <mergeCell ref="L57:M57"/>
    <mergeCell ref="B61:D61"/>
    <mergeCell ref="B59:D59"/>
    <mergeCell ref="C58:D58"/>
    <mergeCell ref="E60:K60"/>
    <mergeCell ref="C57:I57"/>
    <mergeCell ref="C56:Q56"/>
    <mergeCell ref="C55:Q55"/>
    <mergeCell ref="M58:Q58"/>
    <mergeCell ref="E58:K58"/>
    <mergeCell ref="O57:P57"/>
    <mergeCell ref="B6:F6"/>
    <mergeCell ref="B27:C27"/>
    <mergeCell ref="D19:K19"/>
    <mergeCell ref="D20:K20"/>
    <mergeCell ref="D21:K21"/>
    <mergeCell ref="D22:K22"/>
    <mergeCell ref="B20:C20"/>
    <mergeCell ref="B21:C21"/>
    <mergeCell ref="B22:C22"/>
    <mergeCell ref="D26:K26"/>
    <mergeCell ref="D25:K25"/>
    <mergeCell ref="B17:C17"/>
    <mergeCell ref="B19:C19"/>
    <mergeCell ref="D24:K24"/>
    <mergeCell ref="B23:C23"/>
    <mergeCell ref="D23:K23"/>
    <mergeCell ref="B25:C25"/>
    <mergeCell ref="D14:K14"/>
    <mergeCell ref="B14:C14"/>
    <mergeCell ref="B15:C15"/>
    <mergeCell ref="D18:K18"/>
    <mergeCell ref="D9:K9"/>
    <mergeCell ref="D15:K15"/>
    <mergeCell ref="D17:K17"/>
    <mergeCell ref="Q16:R16"/>
    <mergeCell ref="B18:C18"/>
    <mergeCell ref="Q23:R23"/>
    <mergeCell ref="Q24:R24"/>
    <mergeCell ref="C49:Q49"/>
    <mergeCell ref="P39:R40"/>
    <mergeCell ref="Q28:R28"/>
    <mergeCell ref="D31:K31"/>
    <mergeCell ref="D37:K37"/>
    <mergeCell ref="B41:Q41"/>
    <mergeCell ref="B38:C38"/>
    <mergeCell ref="C34:K34"/>
    <mergeCell ref="Q25:R25"/>
    <mergeCell ref="D28:K28"/>
    <mergeCell ref="D16:K16"/>
    <mergeCell ref="Q17:R17"/>
    <mergeCell ref="Q18:R18"/>
    <mergeCell ref="B16:C16"/>
    <mergeCell ref="Q27:R27"/>
    <mergeCell ref="D27:K27"/>
  </mergeCells>
  <phoneticPr fontId="1"/>
  <conditionalFormatting sqref="L13:N13 N14:N33 M15:M16 L14:L33 L40:M40">
    <cfRule type="expression" dxfId="8" priority="4" stopIfTrue="1">
      <formula>ISBLANK($U13)</formula>
    </cfRule>
  </conditionalFormatting>
  <conditionalFormatting sqref="P13:Q22">
    <cfRule type="expression" dxfId="7" priority="5" stopIfTrue="1">
      <formula>ISBLANK($V13)</formula>
    </cfRule>
  </conditionalFormatting>
  <conditionalFormatting sqref="N36 L36:M38">
    <cfRule type="expression" dxfId="6" priority="6" stopIfTrue="1">
      <formula>ISBLANK($U36)</formula>
    </cfRule>
  </conditionalFormatting>
  <conditionalFormatting sqref="P39:Q40 Q29:R31 Q33:R34 Q32">
    <cfRule type="cellIs" dxfId="5" priority="7" stopIfTrue="1" operator="notEqual">
      <formula>""</formula>
    </cfRule>
  </conditionalFormatting>
  <conditionalFormatting sqref="L35:N35">
    <cfRule type="expression" dxfId="4" priority="8" stopIfTrue="1">
      <formula>ISBLANK($U36)</formula>
    </cfRule>
  </conditionalFormatting>
  <conditionalFormatting sqref="O35">
    <cfRule type="cellIs" dxfId="3" priority="9" stopIfTrue="1" operator="notEqual">
      <formula>""</formula>
    </cfRule>
  </conditionalFormatting>
  <conditionalFormatting sqref="P32:P33">
    <cfRule type="expression" dxfId="2" priority="3" stopIfTrue="1">
      <formula>ISBLANK($V32)</formula>
    </cfRule>
  </conditionalFormatting>
  <conditionalFormatting sqref="Q32:R33">
    <cfRule type="expression" dxfId="1" priority="2" stopIfTrue="1">
      <formula>ISBLANK($V32)</formula>
    </cfRule>
  </conditionalFormatting>
  <conditionalFormatting sqref="M32">
    <cfRule type="expression" dxfId="0" priority="1" stopIfTrue="1">
      <formula>ISBLANK($U32)</formula>
    </cfRule>
  </conditionalFormatting>
  <hyperlinks>
    <hyperlink ref="E63" r:id="rId1" display="shaoshuhong@hisense.com" xr:uid="{00000000-0004-0000-0100-000000000000}"/>
    <hyperlink ref="E63:K63" r:id="rId2" display="zhaoqingchao@hisense.com" xr:uid="{00000000-0004-0000-0100-000001000000}"/>
  </hyperlinks>
  <printOptions horizontalCentered="1" verticalCentered="1"/>
  <pageMargins left="0.19685039370078741" right="0.19685039370078741" top="0.19685039370078741" bottom="0.19685039370078741" header="0.23622047244094491" footer="0.19685039370078741"/>
  <pageSetup paperSize="9" scale="95" orientation="portrait" r:id="rId3"/>
  <headerFooter alignWithMargins="0"/>
  <ignoredErrors>
    <ignoredError sqref="H75" unlockedFormula="1"/>
  </ignoredErrors>
  <drawing r:id="rId4"/>
  <legacyDrawing r:id="rId5"/>
  <mc:AlternateContent xmlns:mc="http://schemas.openxmlformats.org/markup-compatibility/2006">
    <mc:Choice Requires="x14">
      <controls>
        <mc:AlternateContent xmlns:mc="http://schemas.openxmlformats.org/markup-compatibility/2006">
          <mc:Choice Requires="x14">
            <control shapeId="7305" r:id="rId6" name="Check Box 137">
              <controlPr defaultSize="0" autoFill="0" autoLine="0" autoPict="0">
                <anchor moveWithCells="1">
                  <from>
                    <xdr:col>16</xdr:col>
                    <xdr:colOff>205740</xdr:colOff>
                    <xdr:row>5</xdr:row>
                    <xdr:rowOff>0</xdr:rowOff>
                  </from>
                  <to>
                    <xdr:col>16</xdr:col>
                    <xdr:colOff>480060</xdr:colOff>
                    <xdr:row>6</xdr:row>
                    <xdr:rowOff>0</xdr:rowOff>
                  </to>
                </anchor>
              </controlPr>
            </control>
          </mc:Choice>
        </mc:AlternateContent>
        <mc:AlternateContent xmlns:mc="http://schemas.openxmlformats.org/markup-compatibility/2006">
          <mc:Choice Requires="x14">
            <control shapeId="19255" r:id="rId7" name="Option Button 9015">
              <controlPr defaultSize="0" autoFill="0" autoLine="0" autoPict="0">
                <anchor moveWithCells="1" sizeWithCells="1">
                  <from>
                    <xdr:col>11</xdr:col>
                    <xdr:colOff>228600</xdr:colOff>
                    <xdr:row>16</xdr:row>
                    <xdr:rowOff>0</xdr:rowOff>
                  </from>
                  <to>
                    <xdr:col>12</xdr:col>
                    <xdr:colOff>0</xdr:colOff>
                    <xdr:row>17</xdr:row>
                    <xdr:rowOff>0</xdr:rowOff>
                  </to>
                </anchor>
              </controlPr>
            </control>
          </mc:Choice>
        </mc:AlternateContent>
        <mc:AlternateContent xmlns:mc="http://schemas.openxmlformats.org/markup-compatibility/2006">
          <mc:Choice Requires="x14">
            <control shapeId="19256" r:id="rId8" name="Option Button 9016">
              <controlPr defaultSize="0" autoFill="0" autoLine="0" autoPict="0">
                <anchor moveWithCells="1" sizeWithCells="1">
                  <from>
                    <xdr:col>13</xdr:col>
                    <xdr:colOff>228600</xdr:colOff>
                    <xdr:row>16</xdr:row>
                    <xdr:rowOff>0</xdr:rowOff>
                  </from>
                  <to>
                    <xdr:col>14</xdr:col>
                    <xdr:colOff>0</xdr:colOff>
                    <xdr:row>17</xdr:row>
                    <xdr:rowOff>0</xdr:rowOff>
                  </to>
                </anchor>
              </controlPr>
            </control>
          </mc:Choice>
        </mc:AlternateContent>
        <mc:AlternateContent xmlns:mc="http://schemas.openxmlformats.org/markup-compatibility/2006">
          <mc:Choice Requires="x14">
            <control shapeId="19257" r:id="rId9" name="Group Box 9017">
              <controlPr defaultSize="0" autoFill="0" autoPict="0">
                <anchor moveWithCells="1" sizeWithCells="1">
                  <from>
                    <xdr:col>11</xdr:col>
                    <xdr:colOff>0</xdr:colOff>
                    <xdr:row>16</xdr:row>
                    <xdr:rowOff>0</xdr:rowOff>
                  </from>
                  <to>
                    <xdr:col>14</xdr:col>
                    <xdr:colOff>0</xdr:colOff>
                    <xdr:row>17</xdr:row>
                    <xdr:rowOff>0</xdr:rowOff>
                  </to>
                </anchor>
              </controlPr>
            </control>
          </mc:Choice>
        </mc:AlternateContent>
        <mc:AlternateContent xmlns:mc="http://schemas.openxmlformats.org/markup-compatibility/2006">
          <mc:Choice Requires="x14">
            <control shapeId="19261" r:id="rId10" name="Option Button 9021">
              <controlPr defaultSize="0" autoFill="0" autoLine="0" autoPict="0">
                <anchor moveWithCells="1" sizeWithCells="1">
                  <from>
                    <xdr:col>11</xdr:col>
                    <xdr:colOff>228600</xdr:colOff>
                    <xdr:row>18</xdr:row>
                    <xdr:rowOff>0</xdr:rowOff>
                  </from>
                  <to>
                    <xdr:col>12</xdr:col>
                    <xdr:colOff>0</xdr:colOff>
                    <xdr:row>19</xdr:row>
                    <xdr:rowOff>0</xdr:rowOff>
                  </to>
                </anchor>
              </controlPr>
            </control>
          </mc:Choice>
        </mc:AlternateContent>
        <mc:AlternateContent xmlns:mc="http://schemas.openxmlformats.org/markup-compatibility/2006">
          <mc:Choice Requires="x14">
            <control shapeId="19262" r:id="rId11" name="Option Button 9022">
              <controlPr defaultSize="0" autoFill="0" autoLine="0" autoPict="0">
                <anchor moveWithCells="1" sizeWithCells="1">
                  <from>
                    <xdr:col>13</xdr:col>
                    <xdr:colOff>228600</xdr:colOff>
                    <xdr:row>18</xdr:row>
                    <xdr:rowOff>0</xdr:rowOff>
                  </from>
                  <to>
                    <xdr:col>14</xdr:col>
                    <xdr:colOff>0</xdr:colOff>
                    <xdr:row>19</xdr:row>
                    <xdr:rowOff>0</xdr:rowOff>
                  </to>
                </anchor>
              </controlPr>
            </control>
          </mc:Choice>
        </mc:AlternateContent>
        <mc:AlternateContent xmlns:mc="http://schemas.openxmlformats.org/markup-compatibility/2006">
          <mc:Choice Requires="x14">
            <control shapeId="19263" r:id="rId12" name="Group Box 9023">
              <controlPr defaultSize="0" autoFill="0" autoPict="0">
                <anchor moveWithCells="1" sizeWithCells="1">
                  <from>
                    <xdr:col>11</xdr:col>
                    <xdr:colOff>0</xdr:colOff>
                    <xdr:row>18</xdr:row>
                    <xdr:rowOff>0</xdr:rowOff>
                  </from>
                  <to>
                    <xdr:col>14</xdr:col>
                    <xdr:colOff>0</xdr:colOff>
                    <xdr:row>19</xdr:row>
                    <xdr:rowOff>0</xdr:rowOff>
                  </to>
                </anchor>
              </controlPr>
            </control>
          </mc:Choice>
        </mc:AlternateContent>
        <mc:AlternateContent xmlns:mc="http://schemas.openxmlformats.org/markup-compatibility/2006">
          <mc:Choice Requires="x14">
            <control shapeId="19287" r:id="rId13" name="Option Button 9047">
              <controlPr defaultSize="0" autoFill="0" autoLine="0" autoPict="0">
                <anchor moveWithCells="1" sizeWithCells="1">
                  <from>
                    <xdr:col>11</xdr:col>
                    <xdr:colOff>228600</xdr:colOff>
                    <xdr:row>19</xdr:row>
                    <xdr:rowOff>0</xdr:rowOff>
                  </from>
                  <to>
                    <xdr:col>12</xdr:col>
                    <xdr:colOff>0</xdr:colOff>
                    <xdr:row>20</xdr:row>
                    <xdr:rowOff>0</xdr:rowOff>
                  </to>
                </anchor>
              </controlPr>
            </control>
          </mc:Choice>
        </mc:AlternateContent>
        <mc:AlternateContent xmlns:mc="http://schemas.openxmlformats.org/markup-compatibility/2006">
          <mc:Choice Requires="x14">
            <control shapeId="19288" r:id="rId14" name="Option Button 9048">
              <controlPr defaultSize="0" autoFill="0" autoLine="0" autoPict="0">
                <anchor moveWithCells="1" sizeWithCells="1">
                  <from>
                    <xdr:col>13</xdr:col>
                    <xdr:colOff>228600</xdr:colOff>
                    <xdr:row>19</xdr:row>
                    <xdr:rowOff>0</xdr:rowOff>
                  </from>
                  <to>
                    <xdr:col>14</xdr:col>
                    <xdr:colOff>0</xdr:colOff>
                    <xdr:row>20</xdr:row>
                    <xdr:rowOff>0</xdr:rowOff>
                  </to>
                </anchor>
              </controlPr>
            </control>
          </mc:Choice>
        </mc:AlternateContent>
        <mc:AlternateContent xmlns:mc="http://schemas.openxmlformats.org/markup-compatibility/2006">
          <mc:Choice Requires="x14">
            <control shapeId="19289" r:id="rId15" name="Group Box 9049">
              <controlPr defaultSize="0" autoFill="0" autoPict="0">
                <anchor moveWithCells="1" sizeWithCells="1">
                  <from>
                    <xdr:col>11</xdr:col>
                    <xdr:colOff>0</xdr:colOff>
                    <xdr:row>19</xdr:row>
                    <xdr:rowOff>0</xdr:rowOff>
                  </from>
                  <to>
                    <xdr:col>14</xdr:col>
                    <xdr:colOff>0</xdr:colOff>
                    <xdr:row>20</xdr:row>
                    <xdr:rowOff>0</xdr:rowOff>
                  </to>
                </anchor>
              </controlPr>
            </control>
          </mc:Choice>
        </mc:AlternateContent>
        <mc:AlternateContent xmlns:mc="http://schemas.openxmlformats.org/markup-compatibility/2006">
          <mc:Choice Requires="x14">
            <control shapeId="19313" r:id="rId16" name="Option Button 9073">
              <controlPr defaultSize="0" autoFill="0" autoLine="0" autoPict="0">
                <anchor moveWithCells="1" sizeWithCells="1">
                  <from>
                    <xdr:col>11</xdr:col>
                    <xdr:colOff>228600</xdr:colOff>
                    <xdr:row>20</xdr:row>
                    <xdr:rowOff>0</xdr:rowOff>
                  </from>
                  <to>
                    <xdr:col>12</xdr:col>
                    <xdr:colOff>0</xdr:colOff>
                    <xdr:row>21</xdr:row>
                    <xdr:rowOff>0</xdr:rowOff>
                  </to>
                </anchor>
              </controlPr>
            </control>
          </mc:Choice>
        </mc:AlternateContent>
        <mc:AlternateContent xmlns:mc="http://schemas.openxmlformats.org/markup-compatibility/2006">
          <mc:Choice Requires="x14">
            <control shapeId="19314" r:id="rId17" name="Option Button 9074">
              <controlPr defaultSize="0" autoFill="0" autoLine="0" autoPict="0">
                <anchor moveWithCells="1" sizeWithCells="1">
                  <from>
                    <xdr:col>13</xdr:col>
                    <xdr:colOff>228600</xdr:colOff>
                    <xdr:row>20</xdr:row>
                    <xdr:rowOff>0</xdr:rowOff>
                  </from>
                  <to>
                    <xdr:col>14</xdr:col>
                    <xdr:colOff>0</xdr:colOff>
                    <xdr:row>21</xdr:row>
                    <xdr:rowOff>0</xdr:rowOff>
                  </to>
                </anchor>
              </controlPr>
            </control>
          </mc:Choice>
        </mc:AlternateContent>
        <mc:AlternateContent xmlns:mc="http://schemas.openxmlformats.org/markup-compatibility/2006">
          <mc:Choice Requires="x14">
            <control shapeId="19315" r:id="rId18" name="Group Box 9075">
              <controlPr defaultSize="0" autoFill="0" autoPict="0">
                <anchor moveWithCells="1" sizeWithCells="1">
                  <from>
                    <xdr:col>11</xdr:col>
                    <xdr:colOff>0</xdr:colOff>
                    <xdr:row>20</xdr:row>
                    <xdr:rowOff>0</xdr:rowOff>
                  </from>
                  <to>
                    <xdr:col>14</xdr:col>
                    <xdr:colOff>0</xdr:colOff>
                    <xdr:row>21</xdr:row>
                    <xdr:rowOff>0</xdr:rowOff>
                  </to>
                </anchor>
              </controlPr>
            </control>
          </mc:Choice>
        </mc:AlternateContent>
        <mc:AlternateContent xmlns:mc="http://schemas.openxmlformats.org/markup-compatibility/2006">
          <mc:Choice Requires="x14">
            <control shapeId="19316" r:id="rId19" name="Option Button 9076">
              <controlPr defaultSize="0" autoFill="0" autoLine="0" autoPict="0">
                <anchor moveWithCells="1" sizeWithCells="1">
                  <from>
                    <xdr:col>11</xdr:col>
                    <xdr:colOff>228600</xdr:colOff>
                    <xdr:row>21</xdr:row>
                    <xdr:rowOff>0</xdr:rowOff>
                  </from>
                  <to>
                    <xdr:col>12</xdr:col>
                    <xdr:colOff>0</xdr:colOff>
                    <xdr:row>22</xdr:row>
                    <xdr:rowOff>0</xdr:rowOff>
                  </to>
                </anchor>
              </controlPr>
            </control>
          </mc:Choice>
        </mc:AlternateContent>
        <mc:AlternateContent xmlns:mc="http://schemas.openxmlformats.org/markup-compatibility/2006">
          <mc:Choice Requires="x14">
            <control shapeId="19317" r:id="rId20" name="Option Button 9077">
              <controlPr defaultSize="0" autoFill="0" autoLine="0" autoPict="0">
                <anchor moveWithCells="1" sizeWithCells="1">
                  <from>
                    <xdr:col>13</xdr:col>
                    <xdr:colOff>228600</xdr:colOff>
                    <xdr:row>21</xdr:row>
                    <xdr:rowOff>0</xdr:rowOff>
                  </from>
                  <to>
                    <xdr:col>14</xdr:col>
                    <xdr:colOff>0</xdr:colOff>
                    <xdr:row>22</xdr:row>
                    <xdr:rowOff>0</xdr:rowOff>
                  </to>
                </anchor>
              </controlPr>
            </control>
          </mc:Choice>
        </mc:AlternateContent>
        <mc:AlternateContent xmlns:mc="http://schemas.openxmlformats.org/markup-compatibility/2006">
          <mc:Choice Requires="x14">
            <control shapeId="19318" r:id="rId21" name="Group Box 9078">
              <controlPr defaultSize="0" autoFill="0" autoPict="0">
                <anchor moveWithCells="1" sizeWithCells="1">
                  <from>
                    <xdr:col>11</xdr:col>
                    <xdr:colOff>0</xdr:colOff>
                    <xdr:row>21</xdr:row>
                    <xdr:rowOff>0</xdr:rowOff>
                  </from>
                  <to>
                    <xdr:col>14</xdr:col>
                    <xdr:colOff>0</xdr:colOff>
                    <xdr:row>22</xdr:row>
                    <xdr:rowOff>0</xdr:rowOff>
                  </to>
                </anchor>
              </controlPr>
            </control>
          </mc:Choice>
        </mc:AlternateContent>
        <mc:AlternateContent xmlns:mc="http://schemas.openxmlformats.org/markup-compatibility/2006">
          <mc:Choice Requires="x14">
            <control shapeId="19319" r:id="rId22" name="Option Button 9079">
              <controlPr defaultSize="0" autoFill="0" autoLine="0" autoPict="0">
                <anchor moveWithCells="1" sizeWithCells="1">
                  <from>
                    <xdr:col>11</xdr:col>
                    <xdr:colOff>228600</xdr:colOff>
                    <xdr:row>22</xdr:row>
                    <xdr:rowOff>0</xdr:rowOff>
                  </from>
                  <to>
                    <xdr:col>12</xdr:col>
                    <xdr:colOff>0</xdr:colOff>
                    <xdr:row>23</xdr:row>
                    <xdr:rowOff>0</xdr:rowOff>
                  </to>
                </anchor>
              </controlPr>
            </control>
          </mc:Choice>
        </mc:AlternateContent>
        <mc:AlternateContent xmlns:mc="http://schemas.openxmlformats.org/markup-compatibility/2006">
          <mc:Choice Requires="x14">
            <control shapeId="19320" r:id="rId23" name="Option Button 9080">
              <controlPr defaultSize="0" autoFill="0" autoLine="0" autoPict="0">
                <anchor moveWithCells="1" sizeWithCells="1">
                  <from>
                    <xdr:col>13</xdr:col>
                    <xdr:colOff>228600</xdr:colOff>
                    <xdr:row>22</xdr:row>
                    <xdr:rowOff>0</xdr:rowOff>
                  </from>
                  <to>
                    <xdr:col>14</xdr:col>
                    <xdr:colOff>0</xdr:colOff>
                    <xdr:row>23</xdr:row>
                    <xdr:rowOff>0</xdr:rowOff>
                  </to>
                </anchor>
              </controlPr>
            </control>
          </mc:Choice>
        </mc:AlternateContent>
        <mc:AlternateContent xmlns:mc="http://schemas.openxmlformats.org/markup-compatibility/2006">
          <mc:Choice Requires="x14">
            <control shapeId="19321" r:id="rId24" name="Group Box 9081">
              <controlPr defaultSize="0" autoFill="0" autoPict="0">
                <anchor moveWithCells="1" sizeWithCells="1">
                  <from>
                    <xdr:col>11</xdr:col>
                    <xdr:colOff>0</xdr:colOff>
                    <xdr:row>22</xdr:row>
                    <xdr:rowOff>0</xdr:rowOff>
                  </from>
                  <to>
                    <xdr:col>14</xdr:col>
                    <xdr:colOff>0</xdr:colOff>
                    <xdr:row>23</xdr:row>
                    <xdr:rowOff>0</xdr:rowOff>
                  </to>
                </anchor>
              </controlPr>
            </control>
          </mc:Choice>
        </mc:AlternateContent>
        <mc:AlternateContent xmlns:mc="http://schemas.openxmlformats.org/markup-compatibility/2006">
          <mc:Choice Requires="x14">
            <control shapeId="19322" r:id="rId25" name="Option Button 9082">
              <controlPr defaultSize="0" autoFill="0" autoLine="0" autoPict="0">
                <anchor moveWithCells="1">
                  <from>
                    <xdr:col>11</xdr:col>
                    <xdr:colOff>228600</xdr:colOff>
                    <xdr:row>23</xdr:row>
                    <xdr:rowOff>0</xdr:rowOff>
                  </from>
                  <to>
                    <xdr:col>12</xdr:col>
                    <xdr:colOff>0</xdr:colOff>
                    <xdr:row>24</xdr:row>
                    <xdr:rowOff>0</xdr:rowOff>
                  </to>
                </anchor>
              </controlPr>
            </control>
          </mc:Choice>
        </mc:AlternateContent>
        <mc:AlternateContent xmlns:mc="http://schemas.openxmlformats.org/markup-compatibility/2006">
          <mc:Choice Requires="x14">
            <control shapeId="19323" r:id="rId26" name="Option Button 9083">
              <controlPr defaultSize="0" autoFill="0" autoLine="0" autoPict="0">
                <anchor moveWithCells="1">
                  <from>
                    <xdr:col>13</xdr:col>
                    <xdr:colOff>228600</xdr:colOff>
                    <xdr:row>23</xdr:row>
                    <xdr:rowOff>0</xdr:rowOff>
                  </from>
                  <to>
                    <xdr:col>14</xdr:col>
                    <xdr:colOff>0</xdr:colOff>
                    <xdr:row>24</xdr:row>
                    <xdr:rowOff>0</xdr:rowOff>
                  </to>
                </anchor>
              </controlPr>
            </control>
          </mc:Choice>
        </mc:AlternateContent>
        <mc:AlternateContent xmlns:mc="http://schemas.openxmlformats.org/markup-compatibility/2006">
          <mc:Choice Requires="x14">
            <control shapeId="19324" r:id="rId27" name="Group Box 9084">
              <controlPr defaultSize="0" autoFill="0" autoPict="0">
                <anchor moveWithCells="1" sizeWithCells="1">
                  <from>
                    <xdr:col>11</xdr:col>
                    <xdr:colOff>0</xdr:colOff>
                    <xdr:row>23</xdr:row>
                    <xdr:rowOff>0</xdr:rowOff>
                  </from>
                  <to>
                    <xdr:col>14</xdr:col>
                    <xdr:colOff>0</xdr:colOff>
                    <xdr:row>24</xdr:row>
                    <xdr:rowOff>0</xdr:rowOff>
                  </to>
                </anchor>
              </controlPr>
            </control>
          </mc:Choice>
        </mc:AlternateContent>
        <mc:AlternateContent xmlns:mc="http://schemas.openxmlformats.org/markup-compatibility/2006">
          <mc:Choice Requires="x14">
            <control shapeId="19325" r:id="rId28" name="Option Button 9085">
              <controlPr defaultSize="0" autoFill="0" autoLine="0" autoPict="0">
                <anchor moveWithCells="1">
                  <from>
                    <xdr:col>11</xdr:col>
                    <xdr:colOff>228600</xdr:colOff>
                    <xdr:row>24</xdr:row>
                    <xdr:rowOff>0</xdr:rowOff>
                  </from>
                  <to>
                    <xdr:col>12</xdr:col>
                    <xdr:colOff>0</xdr:colOff>
                    <xdr:row>25</xdr:row>
                    <xdr:rowOff>0</xdr:rowOff>
                  </to>
                </anchor>
              </controlPr>
            </control>
          </mc:Choice>
        </mc:AlternateContent>
        <mc:AlternateContent xmlns:mc="http://schemas.openxmlformats.org/markup-compatibility/2006">
          <mc:Choice Requires="x14">
            <control shapeId="19326" r:id="rId29" name="Option Button 9086">
              <controlPr defaultSize="0" autoFill="0" autoLine="0" autoPict="0">
                <anchor moveWithCells="1">
                  <from>
                    <xdr:col>13</xdr:col>
                    <xdr:colOff>228600</xdr:colOff>
                    <xdr:row>24</xdr:row>
                    <xdr:rowOff>0</xdr:rowOff>
                  </from>
                  <to>
                    <xdr:col>14</xdr:col>
                    <xdr:colOff>0</xdr:colOff>
                    <xdr:row>25</xdr:row>
                    <xdr:rowOff>0</xdr:rowOff>
                  </to>
                </anchor>
              </controlPr>
            </control>
          </mc:Choice>
        </mc:AlternateContent>
        <mc:AlternateContent xmlns:mc="http://schemas.openxmlformats.org/markup-compatibility/2006">
          <mc:Choice Requires="x14">
            <control shapeId="19327" r:id="rId30" name="Group Box 9087">
              <controlPr defaultSize="0" autoFill="0" autoPict="0">
                <anchor moveWithCells="1" sizeWithCells="1">
                  <from>
                    <xdr:col>11</xdr:col>
                    <xdr:colOff>0</xdr:colOff>
                    <xdr:row>24</xdr:row>
                    <xdr:rowOff>0</xdr:rowOff>
                  </from>
                  <to>
                    <xdr:col>14</xdr:col>
                    <xdr:colOff>0</xdr:colOff>
                    <xdr:row>25</xdr:row>
                    <xdr:rowOff>0</xdr:rowOff>
                  </to>
                </anchor>
              </controlPr>
            </control>
          </mc:Choice>
        </mc:AlternateContent>
        <mc:AlternateContent xmlns:mc="http://schemas.openxmlformats.org/markup-compatibility/2006">
          <mc:Choice Requires="x14">
            <control shapeId="19328" r:id="rId31" name="Option Button 9088">
              <controlPr defaultSize="0" autoFill="0" autoLine="0" autoPict="0">
                <anchor moveWithCells="1">
                  <from>
                    <xdr:col>11</xdr:col>
                    <xdr:colOff>228600</xdr:colOff>
                    <xdr:row>25</xdr:row>
                    <xdr:rowOff>0</xdr:rowOff>
                  </from>
                  <to>
                    <xdr:col>12</xdr:col>
                    <xdr:colOff>0</xdr:colOff>
                    <xdr:row>26</xdr:row>
                    <xdr:rowOff>0</xdr:rowOff>
                  </to>
                </anchor>
              </controlPr>
            </control>
          </mc:Choice>
        </mc:AlternateContent>
        <mc:AlternateContent xmlns:mc="http://schemas.openxmlformats.org/markup-compatibility/2006">
          <mc:Choice Requires="x14">
            <control shapeId="19329" r:id="rId32" name="Option Button 9089">
              <controlPr defaultSize="0" autoFill="0" autoLine="0" autoPict="0">
                <anchor moveWithCells="1">
                  <from>
                    <xdr:col>13</xdr:col>
                    <xdr:colOff>228600</xdr:colOff>
                    <xdr:row>25</xdr:row>
                    <xdr:rowOff>0</xdr:rowOff>
                  </from>
                  <to>
                    <xdr:col>14</xdr:col>
                    <xdr:colOff>0</xdr:colOff>
                    <xdr:row>26</xdr:row>
                    <xdr:rowOff>0</xdr:rowOff>
                  </to>
                </anchor>
              </controlPr>
            </control>
          </mc:Choice>
        </mc:AlternateContent>
        <mc:AlternateContent xmlns:mc="http://schemas.openxmlformats.org/markup-compatibility/2006">
          <mc:Choice Requires="x14">
            <control shapeId="19330" r:id="rId33" name="Group Box 9090">
              <controlPr defaultSize="0" autoFill="0" autoPict="0">
                <anchor moveWithCells="1" sizeWithCells="1">
                  <from>
                    <xdr:col>11</xdr:col>
                    <xdr:colOff>0</xdr:colOff>
                    <xdr:row>25</xdr:row>
                    <xdr:rowOff>0</xdr:rowOff>
                  </from>
                  <to>
                    <xdr:col>14</xdr:col>
                    <xdr:colOff>0</xdr:colOff>
                    <xdr:row>26</xdr:row>
                    <xdr:rowOff>0</xdr:rowOff>
                  </to>
                </anchor>
              </controlPr>
            </control>
          </mc:Choice>
        </mc:AlternateContent>
        <mc:AlternateContent xmlns:mc="http://schemas.openxmlformats.org/markup-compatibility/2006">
          <mc:Choice Requires="x14">
            <control shapeId="19334" r:id="rId34" name="Option Button 9094">
              <controlPr defaultSize="0" autoFill="0" autoLine="0" autoPict="0">
                <anchor moveWithCells="1">
                  <from>
                    <xdr:col>11</xdr:col>
                    <xdr:colOff>228600</xdr:colOff>
                    <xdr:row>27</xdr:row>
                    <xdr:rowOff>0</xdr:rowOff>
                  </from>
                  <to>
                    <xdr:col>12</xdr:col>
                    <xdr:colOff>0</xdr:colOff>
                    <xdr:row>28</xdr:row>
                    <xdr:rowOff>0</xdr:rowOff>
                  </to>
                </anchor>
              </controlPr>
            </control>
          </mc:Choice>
        </mc:AlternateContent>
        <mc:AlternateContent xmlns:mc="http://schemas.openxmlformats.org/markup-compatibility/2006">
          <mc:Choice Requires="x14">
            <control shapeId="19335" r:id="rId35" name="Option Button 9095">
              <controlPr defaultSize="0" autoFill="0" autoLine="0" autoPict="0">
                <anchor moveWithCells="1">
                  <from>
                    <xdr:col>13</xdr:col>
                    <xdr:colOff>228600</xdr:colOff>
                    <xdr:row>27</xdr:row>
                    <xdr:rowOff>0</xdr:rowOff>
                  </from>
                  <to>
                    <xdr:col>14</xdr:col>
                    <xdr:colOff>0</xdr:colOff>
                    <xdr:row>28</xdr:row>
                    <xdr:rowOff>0</xdr:rowOff>
                  </to>
                </anchor>
              </controlPr>
            </control>
          </mc:Choice>
        </mc:AlternateContent>
        <mc:AlternateContent xmlns:mc="http://schemas.openxmlformats.org/markup-compatibility/2006">
          <mc:Choice Requires="x14">
            <control shapeId="19336" r:id="rId36" name="Group Box 9096">
              <controlPr defaultSize="0" autoFill="0" autoPict="0">
                <anchor moveWithCells="1" sizeWithCells="1">
                  <from>
                    <xdr:col>11</xdr:col>
                    <xdr:colOff>0</xdr:colOff>
                    <xdr:row>27</xdr:row>
                    <xdr:rowOff>0</xdr:rowOff>
                  </from>
                  <to>
                    <xdr:col>14</xdr:col>
                    <xdr:colOff>0</xdr:colOff>
                    <xdr:row>28</xdr:row>
                    <xdr:rowOff>0</xdr:rowOff>
                  </to>
                </anchor>
              </controlPr>
            </control>
          </mc:Choice>
        </mc:AlternateContent>
        <mc:AlternateContent xmlns:mc="http://schemas.openxmlformats.org/markup-compatibility/2006">
          <mc:Choice Requires="x14">
            <control shapeId="19360" r:id="rId37" name="Option Button 9120">
              <controlPr defaultSize="0" autoFill="0" autoLine="0" autoPict="0">
                <anchor moveWithCells="1">
                  <from>
                    <xdr:col>11</xdr:col>
                    <xdr:colOff>228600</xdr:colOff>
                    <xdr:row>28</xdr:row>
                    <xdr:rowOff>0</xdr:rowOff>
                  </from>
                  <to>
                    <xdr:col>12</xdr:col>
                    <xdr:colOff>0</xdr:colOff>
                    <xdr:row>29</xdr:row>
                    <xdr:rowOff>0</xdr:rowOff>
                  </to>
                </anchor>
              </controlPr>
            </control>
          </mc:Choice>
        </mc:AlternateContent>
        <mc:AlternateContent xmlns:mc="http://schemas.openxmlformats.org/markup-compatibility/2006">
          <mc:Choice Requires="x14">
            <control shapeId="19361" r:id="rId38" name="Option Button 9121">
              <controlPr defaultSize="0" autoFill="0" autoLine="0" autoPict="0">
                <anchor moveWithCells="1">
                  <from>
                    <xdr:col>13</xdr:col>
                    <xdr:colOff>228600</xdr:colOff>
                    <xdr:row>28</xdr:row>
                    <xdr:rowOff>0</xdr:rowOff>
                  </from>
                  <to>
                    <xdr:col>14</xdr:col>
                    <xdr:colOff>0</xdr:colOff>
                    <xdr:row>29</xdr:row>
                    <xdr:rowOff>0</xdr:rowOff>
                  </to>
                </anchor>
              </controlPr>
            </control>
          </mc:Choice>
        </mc:AlternateContent>
        <mc:AlternateContent xmlns:mc="http://schemas.openxmlformats.org/markup-compatibility/2006">
          <mc:Choice Requires="x14">
            <control shapeId="19362" r:id="rId39" name="Group Box 9122">
              <controlPr defaultSize="0" autoFill="0" autoPict="0">
                <anchor moveWithCells="1" sizeWithCells="1">
                  <from>
                    <xdr:col>11</xdr:col>
                    <xdr:colOff>0</xdr:colOff>
                    <xdr:row>28</xdr:row>
                    <xdr:rowOff>0</xdr:rowOff>
                  </from>
                  <to>
                    <xdr:col>14</xdr:col>
                    <xdr:colOff>0</xdr:colOff>
                    <xdr:row>29</xdr:row>
                    <xdr:rowOff>0</xdr:rowOff>
                  </to>
                </anchor>
              </controlPr>
            </control>
          </mc:Choice>
        </mc:AlternateContent>
        <mc:AlternateContent xmlns:mc="http://schemas.openxmlformats.org/markup-compatibility/2006">
          <mc:Choice Requires="x14">
            <control shapeId="19363" r:id="rId40" name="Option Button 9123">
              <controlPr defaultSize="0" autoFill="0" autoLine="0" autoPict="0">
                <anchor moveWithCells="1">
                  <from>
                    <xdr:col>11</xdr:col>
                    <xdr:colOff>228600</xdr:colOff>
                    <xdr:row>29</xdr:row>
                    <xdr:rowOff>0</xdr:rowOff>
                  </from>
                  <to>
                    <xdr:col>12</xdr:col>
                    <xdr:colOff>0</xdr:colOff>
                    <xdr:row>30</xdr:row>
                    <xdr:rowOff>0</xdr:rowOff>
                  </to>
                </anchor>
              </controlPr>
            </control>
          </mc:Choice>
        </mc:AlternateContent>
        <mc:AlternateContent xmlns:mc="http://schemas.openxmlformats.org/markup-compatibility/2006">
          <mc:Choice Requires="x14">
            <control shapeId="19364" r:id="rId41" name="Option Button 9124">
              <controlPr defaultSize="0" autoFill="0" autoLine="0" autoPict="0">
                <anchor moveWithCells="1">
                  <from>
                    <xdr:col>13</xdr:col>
                    <xdr:colOff>228600</xdr:colOff>
                    <xdr:row>29</xdr:row>
                    <xdr:rowOff>0</xdr:rowOff>
                  </from>
                  <to>
                    <xdr:col>14</xdr:col>
                    <xdr:colOff>0</xdr:colOff>
                    <xdr:row>30</xdr:row>
                    <xdr:rowOff>0</xdr:rowOff>
                  </to>
                </anchor>
              </controlPr>
            </control>
          </mc:Choice>
        </mc:AlternateContent>
        <mc:AlternateContent xmlns:mc="http://schemas.openxmlformats.org/markup-compatibility/2006">
          <mc:Choice Requires="x14">
            <control shapeId="19365" r:id="rId42" name="Group Box 9125">
              <controlPr defaultSize="0" autoFill="0" autoPict="0">
                <anchor moveWithCells="1" sizeWithCells="1">
                  <from>
                    <xdr:col>11</xdr:col>
                    <xdr:colOff>0</xdr:colOff>
                    <xdr:row>29</xdr:row>
                    <xdr:rowOff>0</xdr:rowOff>
                  </from>
                  <to>
                    <xdr:col>14</xdr:col>
                    <xdr:colOff>0</xdr:colOff>
                    <xdr:row>30</xdr:row>
                    <xdr:rowOff>0</xdr:rowOff>
                  </to>
                </anchor>
              </controlPr>
            </control>
          </mc:Choice>
        </mc:AlternateContent>
        <mc:AlternateContent xmlns:mc="http://schemas.openxmlformats.org/markup-compatibility/2006">
          <mc:Choice Requires="x14">
            <control shapeId="19366" r:id="rId43" name="Option Button 9126">
              <controlPr defaultSize="0" autoFill="0" autoLine="0" autoPict="0">
                <anchor moveWithCells="1">
                  <from>
                    <xdr:col>11</xdr:col>
                    <xdr:colOff>228600</xdr:colOff>
                    <xdr:row>30</xdr:row>
                    <xdr:rowOff>0</xdr:rowOff>
                  </from>
                  <to>
                    <xdr:col>12</xdr:col>
                    <xdr:colOff>0</xdr:colOff>
                    <xdr:row>31</xdr:row>
                    <xdr:rowOff>0</xdr:rowOff>
                  </to>
                </anchor>
              </controlPr>
            </control>
          </mc:Choice>
        </mc:AlternateContent>
        <mc:AlternateContent xmlns:mc="http://schemas.openxmlformats.org/markup-compatibility/2006">
          <mc:Choice Requires="x14">
            <control shapeId="19367" r:id="rId44" name="Option Button 9127">
              <controlPr defaultSize="0" autoFill="0" autoLine="0" autoPict="0">
                <anchor moveWithCells="1">
                  <from>
                    <xdr:col>13</xdr:col>
                    <xdr:colOff>228600</xdr:colOff>
                    <xdr:row>30</xdr:row>
                    <xdr:rowOff>0</xdr:rowOff>
                  </from>
                  <to>
                    <xdr:col>14</xdr:col>
                    <xdr:colOff>0</xdr:colOff>
                    <xdr:row>31</xdr:row>
                    <xdr:rowOff>0</xdr:rowOff>
                  </to>
                </anchor>
              </controlPr>
            </control>
          </mc:Choice>
        </mc:AlternateContent>
        <mc:AlternateContent xmlns:mc="http://schemas.openxmlformats.org/markup-compatibility/2006">
          <mc:Choice Requires="x14">
            <control shapeId="19368" r:id="rId45" name="Group Box 9128">
              <controlPr defaultSize="0" autoFill="0" autoPict="0">
                <anchor moveWithCells="1" sizeWithCells="1">
                  <from>
                    <xdr:col>11</xdr:col>
                    <xdr:colOff>0</xdr:colOff>
                    <xdr:row>30</xdr:row>
                    <xdr:rowOff>0</xdr:rowOff>
                  </from>
                  <to>
                    <xdr:col>14</xdr:col>
                    <xdr:colOff>0</xdr:colOff>
                    <xdr:row>31</xdr:row>
                    <xdr:rowOff>0</xdr:rowOff>
                  </to>
                </anchor>
              </controlPr>
            </control>
          </mc:Choice>
        </mc:AlternateContent>
        <mc:AlternateContent xmlns:mc="http://schemas.openxmlformats.org/markup-compatibility/2006">
          <mc:Choice Requires="x14">
            <control shapeId="19392" r:id="rId46" name="Option Button 9152">
              <controlPr defaultSize="0" autoFill="0" autoLine="0" autoPict="0">
                <anchor moveWithCells="1">
                  <from>
                    <xdr:col>11</xdr:col>
                    <xdr:colOff>228600</xdr:colOff>
                    <xdr:row>31</xdr:row>
                    <xdr:rowOff>0</xdr:rowOff>
                  </from>
                  <to>
                    <xdr:col>12</xdr:col>
                    <xdr:colOff>0</xdr:colOff>
                    <xdr:row>32</xdr:row>
                    <xdr:rowOff>0</xdr:rowOff>
                  </to>
                </anchor>
              </controlPr>
            </control>
          </mc:Choice>
        </mc:AlternateContent>
        <mc:AlternateContent xmlns:mc="http://schemas.openxmlformats.org/markup-compatibility/2006">
          <mc:Choice Requires="x14">
            <control shapeId="19393" r:id="rId47" name="Option Button 9153">
              <controlPr defaultSize="0" autoFill="0" autoLine="0" autoPict="0">
                <anchor moveWithCells="1">
                  <from>
                    <xdr:col>12</xdr:col>
                    <xdr:colOff>228600</xdr:colOff>
                    <xdr:row>31</xdr:row>
                    <xdr:rowOff>0</xdr:rowOff>
                  </from>
                  <to>
                    <xdr:col>13</xdr:col>
                    <xdr:colOff>0</xdr:colOff>
                    <xdr:row>32</xdr:row>
                    <xdr:rowOff>0</xdr:rowOff>
                  </to>
                </anchor>
              </controlPr>
            </control>
          </mc:Choice>
        </mc:AlternateContent>
        <mc:AlternateContent xmlns:mc="http://schemas.openxmlformats.org/markup-compatibility/2006">
          <mc:Choice Requires="x14">
            <control shapeId="19394" r:id="rId48" name="Option Button 9154">
              <controlPr defaultSize="0" autoFill="0" autoLine="0" autoPict="0">
                <anchor moveWithCells="1">
                  <from>
                    <xdr:col>13</xdr:col>
                    <xdr:colOff>228600</xdr:colOff>
                    <xdr:row>31</xdr:row>
                    <xdr:rowOff>0</xdr:rowOff>
                  </from>
                  <to>
                    <xdr:col>14</xdr:col>
                    <xdr:colOff>0</xdr:colOff>
                    <xdr:row>32</xdr:row>
                    <xdr:rowOff>0</xdr:rowOff>
                  </to>
                </anchor>
              </controlPr>
            </control>
          </mc:Choice>
        </mc:AlternateContent>
        <mc:AlternateContent xmlns:mc="http://schemas.openxmlformats.org/markup-compatibility/2006">
          <mc:Choice Requires="x14">
            <control shapeId="19395" r:id="rId49" name="Group Box 9155">
              <controlPr defaultSize="0" autoFill="0" autoPict="0">
                <anchor moveWithCells="1" sizeWithCells="1">
                  <from>
                    <xdr:col>11</xdr:col>
                    <xdr:colOff>0</xdr:colOff>
                    <xdr:row>31</xdr:row>
                    <xdr:rowOff>0</xdr:rowOff>
                  </from>
                  <to>
                    <xdr:col>14</xdr:col>
                    <xdr:colOff>0</xdr:colOff>
                    <xdr:row>32</xdr:row>
                    <xdr:rowOff>0</xdr:rowOff>
                  </to>
                </anchor>
              </controlPr>
            </control>
          </mc:Choice>
        </mc:AlternateContent>
        <mc:AlternateContent xmlns:mc="http://schemas.openxmlformats.org/markup-compatibility/2006">
          <mc:Choice Requires="x14">
            <control shapeId="19396" r:id="rId50" name="Option Button 9156">
              <controlPr defaultSize="0" autoFill="0" autoLine="0" autoPict="0">
                <anchor moveWithCells="1">
                  <from>
                    <xdr:col>11</xdr:col>
                    <xdr:colOff>228600</xdr:colOff>
                    <xdr:row>32</xdr:row>
                    <xdr:rowOff>0</xdr:rowOff>
                  </from>
                  <to>
                    <xdr:col>12</xdr:col>
                    <xdr:colOff>0</xdr:colOff>
                    <xdr:row>33</xdr:row>
                    <xdr:rowOff>0</xdr:rowOff>
                  </to>
                </anchor>
              </controlPr>
            </control>
          </mc:Choice>
        </mc:AlternateContent>
        <mc:AlternateContent xmlns:mc="http://schemas.openxmlformats.org/markup-compatibility/2006">
          <mc:Choice Requires="x14">
            <control shapeId="19397" r:id="rId51" name="Option Button 9157">
              <controlPr defaultSize="0" autoFill="0" autoLine="0" autoPict="0">
                <anchor moveWithCells="1">
                  <from>
                    <xdr:col>13</xdr:col>
                    <xdr:colOff>228600</xdr:colOff>
                    <xdr:row>32</xdr:row>
                    <xdr:rowOff>0</xdr:rowOff>
                  </from>
                  <to>
                    <xdr:col>14</xdr:col>
                    <xdr:colOff>0</xdr:colOff>
                    <xdr:row>33</xdr:row>
                    <xdr:rowOff>0</xdr:rowOff>
                  </to>
                </anchor>
              </controlPr>
            </control>
          </mc:Choice>
        </mc:AlternateContent>
        <mc:AlternateContent xmlns:mc="http://schemas.openxmlformats.org/markup-compatibility/2006">
          <mc:Choice Requires="x14">
            <control shapeId="19398" r:id="rId52" name="Group Box 9158">
              <controlPr defaultSize="0" autoFill="0" autoPict="0">
                <anchor moveWithCells="1" sizeWithCells="1">
                  <from>
                    <xdr:col>11</xdr:col>
                    <xdr:colOff>0</xdr:colOff>
                    <xdr:row>32</xdr:row>
                    <xdr:rowOff>0</xdr:rowOff>
                  </from>
                  <to>
                    <xdr:col>14</xdr:col>
                    <xdr:colOff>0</xdr:colOff>
                    <xdr:row>33</xdr:row>
                    <xdr:rowOff>0</xdr:rowOff>
                  </to>
                </anchor>
              </controlPr>
            </control>
          </mc:Choice>
        </mc:AlternateContent>
        <mc:AlternateContent xmlns:mc="http://schemas.openxmlformats.org/markup-compatibility/2006">
          <mc:Choice Requires="x14">
            <control shapeId="19399" r:id="rId53" name="Option Button 9159">
              <controlPr defaultSize="0" autoFill="0" autoLine="0" autoPict="0">
                <anchor moveWithCells="1">
                  <from>
                    <xdr:col>11</xdr:col>
                    <xdr:colOff>228600</xdr:colOff>
                    <xdr:row>35</xdr:row>
                    <xdr:rowOff>0</xdr:rowOff>
                  </from>
                  <to>
                    <xdr:col>12</xdr:col>
                    <xdr:colOff>0</xdr:colOff>
                    <xdr:row>36</xdr:row>
                    <xdr:rowOff>0</xdr:rowOff>
                  </to>
                </anchor>
              </controlPr>
            </control>
          </mc:Choice>
        </mc:AlternateContent>
        <mc:AlternateContent xmlns:mc="http://schemas.openxmlformats.org/markup-compatibility/2006">
          <mc:Choice Requires="x14">
            <control shapeId="19400" r:id="rId54" name="Option Button 9160">
              <controlPr defaultSize="0" autoFill="0" autoLine="0" autoPict="0">
                <anchor moveWithCells="1">
                  <from>
                    <xdr:col>12</xdr:col>
                    <xdr:colOff>228600</xdr:colOff>
                    <xdr:row>35</xdr:row>
                    <xdr:rowOff>0</xdr:rowOff>
                  </from>
                  <to>
                    <xdr:col>13</xdr:col>
                    <xdr:colOff>0</xdr:colOff>
                    <xdr:row>36</xdr:row>
                    <xdr:rowOff>0</xdr:rowOff>
                  </to>
                </anchor>
              </controlPr>
            </control>
          </mc:Choice>
        </mc:AlternateContent>
        <mc:AlternateContent xmlns:mc="http://schemas.openxmlformats.org/markup-compatibility/2006">
          <mc:Choice Requires="x14">
            <control shapeId="19401" r:id="rId55" name="Option Button 9161">
              <controlPr defaultSize="0" autoFill="0" autoLine="0" autoPict="0">
                <anchor moveWithCells="1">
                  <from>
                    <xdr:col>13</xdr:col>
                    <xdr:colOff>228600</xdr:colOff>
                    <xdr:row>35</xdr:row>
                    <xdr:rowOff>0</xdr:rowOff>
                  </from>
                  <to>
                    <xdr:col>14</xdr:col>
                    <xdr:colOff>0</xdr:colOff>
                    <xdr:row>36</xdr:row>
                    <xdr:rowOff>0</xdr:rowOff>
                  </to>
                </anchor>
              </controlPr>
            </control>
          </mc:Choice>
        </mc:AlternateContent>
        <mc:AlternateContent xmlns:mc="http://schemas.openxmlformats.org/markup-compatibility/2006">
          <mc:Choice Requires="x14">
            <control shapeId="19402" r:id="rId56" name="Group Box 9162">
              <controlPr defaultSize="0" autoFill="0" autoPict="0">
                <anchor moveWithCells="1" sizeWithCells="1">
                  <from>
                    <xdr:col>11</xdr:col>
                    <xdr:colOff>0</xdr:colOff>
                    <xdr:row>35</xdr:row>
                    <xdr:rowOff>0</xdr:rowOff>
                  </from>
                  <to>
                    <xdr:col>14</xdr:col>
                    <xdr:colOff>0</xdr:colOff>
                    <xdr:row>36</xdr:row>
                    <xdr:rowOff>0</xdr:rowOff>
                  </to>
                </anchor>
              </controlPr>
            </control>
          </mc:Choice>
        </mc:AlternateContent>
        <mc:AlternateContent xmlns:mc="http://schemas.openxmlformats.org/markup-compatibility/2006">
          <mc:Choice Requires="x14">
            <control shapeId="19426" r:id="rId57" name="Option Button 9186">
              <controlPr defaultSize="0" autoFill="0" autoLine="0" autoPict="0">
                <anchor moveWithCells="1">
                  <from>
                    <xdr:col>11</xdr:col>
                    <xdr:colOff>228600</xdr:colOff>
                    <xdr:row>36</xdr:row>
                    <xdr:rowOff>0</xdr:rowOff>
                  </from>
                  <to>
                    <xdr:col>12</xdr:col>
                    <xdr:colOff>0</xdr:colOff>
                    <xdr:row>37</xdr:row>
                    <xdr:rowOff>0</xdr:rowOff>
                  </to>
                </anchor>
              </controlPr>
            </control>
          </mc:Choice>
        </mc:AlternateContent>
        <mc:AlternateContent xmlns:mc="http://schemas.openxmlformats.org/markup-compatibility/2006">
          <mc:Choice Requires="x14">
            <control shapeId="19427" r:id="rId58" name="Option Button 9187">
              <controlPr defaultSize="0" autoFill="0" autoLine="0" autoPict="0">
                <anchor moveWithCells="1">
                  <from>
                    <xdr:col>12</xdr:col>
                    <xdr:colOff>228600</xdr:colOff>
                    <xdr:row>36</xdr:row>
                    <xdr:rowOff>0</xdr:rowOff>
                  </from>
                  <to>
                    <xdr:col>13</xdr:col>
                    <xdr:colOff>0</xdr:colOff>
                    <xdr:row>37</xdr:row>
                    <xdr:rowOff>0</xdr:rowOff>
                  </to>
                </anchor>
              </controlPr>
            </control>
          </mc:Choice>
        </mc:AlternateContent>
        <mc:AlternateContent xmlns:mc="http://schemas.openxmlformats.org/markup-compatibility/2006">
          <mc:Choice Requires="x14">
            <control shapeId="19428" r:id="rId59" name="Group Box 9188">
              <controlPr defaultSize="0" autoFill="0" autoPict="0">
                <anchor moveWithCells="1" sizeWithCells="1">
                  <from>
                    <xdr:col>11</xdr:col>
                    <xdr:colOff>0</xdr:colOff>
                    <xdr:row>36</xdr:row>
                    <xdr:rowOff>0</xdr:rowOff>
                  </from>
                  <to>
                    <xdr:col>13</xdr:col>
                    <xdr:colOff>0</xdr:colOff>
                    <xdr:row>37</xdr:row>
                    <xdr:rowOff>0</xdr:rowOff>
                  </to>
                </anchor>
              </controlPr>
            </control>
          </mc:Choice>
        </mc:AlternateContent>
        <mc:AlternateContent xmlns:mc="http://schemas.openxmlformats.org/markup-compatibility/2006">
          <mc:Choice Requires="x14">
            <control shapeId="19429" r:id="rId60" name="Option Button 9189">
              <controlPr defaultSize="0" autoFill="0" autoLine="0" autoPict="0">
                <anchor moveWithCells="1">
                  <from>
                    <xdr:col>11</xdr:col>
                    <xdr:colOff>228600</xdr:colOff>
                    <xdr:row>37</xdr:row>
                    <xdr:rowOff>0</xdr:rowOff>
                  </from>
                  <to>
                    <xdr:col>12</xdr:col>
                    <xdr:colOff>0</xdr:colOff>
                    <xdr:row>38</xdr:row>
                    <xdr:rowOff>0</xdr:rowOff>
                  </to>
                </anchor>
              </controlPr>
            </control>
          </mc:Choice>
        </mc:AlternateContent>
        <mc:AlternateContent xmlns:mc="http://schemas.openxmlformats.org/markup-compatibility/2006">
          <mc:Choice Requires="x14">
            <control shapeId="19430" r:id="rId61" name="Option Button 9190">
              <controlPr defaultSize="0" autoFill="0" autoLine="0" autoPict="0">
                <anchor moveWithCells="1">
                  <from>
                    <xdr:col>12</xdr:col>
                    <xdr:colOff>228600</xdr:colOff>
                    <xdr:row>37</xdr:row>
                    <xdr:rowOff>0</xdr:rowOff>
                  </from>
                  <to>
                    <xdr:col>13</xdr:col>
                    <xdr:colOff>0</xdr:colOff>
                    <xdr:row>38</xdr:row>
                    <xdr:rowOff>0</xdr:rowOff>
                  </to>
                </anchor>
              </controlPr>
            </control>
          </mc:Choice>
        </mc:AlternateContent>
        <mc:AlternateContent xmlns:mc="http://schemas.openxmlformats.org/markup-compatibility/2006">
          <mc:Choice Requires="x14">
            <control shapeId="19431" r:id="rId62" name="Group Box 9191">
              <controlPr defaultSize="0" autoFill="0" autoPict="0">
                <anchor moveWithCells="1" sizeWithCells="1">
                  <from>
                    <xdr:col>11</xdr:col>
                    <xdr:colOff>0</xdr:colOff>
                    <xdr:row>37</xdr:row>
                    <xdr:rowOff>0</xdr:rowOff>
                  </from>
                  <to>
                    <xdr:col>13</xdr:col>
                    <xdr:colOff>0</xdr:colOff>
                    <xdr:row>38</xdr:row>
                    <xdr:rowOff>0</xdr:rowOff>
                  </to>
                </anchor>
              </controlPr>
            </control>
          </mc:Choice>
        </mc:AlternateContent>
        <mc:AlternateContent xmlns:mc="http://schemas.openxmlformats.org/markup-compatibility/2006">
          <mc:Choice Requires="x14">
            <control shapeId="19432" r:id="rId63" name="Option Button 9192">
              <controlPr defaultSize="0" autoFill="0" autoLine="0" autoPict="0">
                <anchor moveWithCells="1">
                  <from>
                    <xdr:col>11</xdr:col>
                    <xdr:colOff>228600</xdr:colOff>
                    <xdr:row>39</xdr:row>
                    <xdr:rowOff>0</xdr:rowOff>
                  </from>
                  <to>
                    <xdr:col>12</xdr:col>
                    <xdr:colOff>0</xdr:colOff>
                    <xdr:row>40</xdr:row>
                    <xdr:rowOff>0</xdr:rowOff>
                  </to>
                </anchor>
              </controlPr>
            </control>
          </mc:Choice>
        </mc:AlternateContent>
        <mc:AlternateContent xmlns:mc="http://schemas.openxmlformats.org/markup-compatibility/2006">
          <mc:Choice Requires="x14">
            <control shapeId="19433" r:id="rId64" name="Option Button 9193">
              <controlPr defaultSize="0" autoFill="0" autoLine="0" autoPict="0">
                <anchor moveWithCells="1">
                  <from>
                    <xdr:col>12</xdr:col>
                    <xdr:colOff>228600</xdr:colOff>
                    <xdr:row>39</xdr:row>
                    <xdr:rowOff>0</xdr:rowOff>
                  </from>
                  <to>
                    <xdr:col>13</xdr:col>
                    <xdr:colOff>0</xdr:colOff>
                    <xdr:row>40</xdr:row>
                    <xdr:rowOff>0</xdr:rowOff>
                  </to>
                </anchor>
              </controlPr>
            </control>
          </mc:Choice>
        </mc:AlternateContent>
        <mc:AlternateContent xmlns:mc="http://schemas.openxmlformats.org/markup-compatibility/2006">
          <mc:Choice Requires="x14">
            <control shapeId="19434" r:id="rId65" name="Group Box 9194">
              <controlPr defaultSize="0" autoFill="0" autoPict="0">
                <anchor moveWithCells="1" sizeWithCells="1">
                  <from>
                    <xdr:col>11</xdr:col>
                    <xdr:colOff>0</xdr:colOff>
                    <xdr:row>39</xdr:row>
                    <xdr:rowOff>0</xdr:rowOff>
                  </from>
                  <to>
                    <xdr:col>13</xdr:col>
                    <xdr:colOff>0</xdr:colOff>
                    <xdr:row>40</xdr:row>
                    <xdr:rowOff>0</xdr:rowOff>
                  </to>
                </anchor>
              </controlPr>
            </control>
          </mc:Choice>
        </mc:AlternateContent>
        <mc:AlternateContent xmlns:mc="http://schemas.openxmlformats.org/markup-compatibility/2006">
          <mc:Choice Requires="x14">
            <control shapeId="19495" r:id="rId66" name="Option Button 9255">
              <controlPr defaultSize="0" autoFill="0" autoLine="0" autoPict="0">
                <anchor moveWithCells="1" sizeWithCells="1">
                  <from>
                    <xdr:col>15</xdr:col>
                    <xdr:colOff>220980</xdr:colOff>
                    <xdr:row>17</xdr:row>
                    <xdr:rowOff>0</xdr:rowOff>
                  </from>
                  <to>
                    <xdr:col>16</xdr:col>
                    <xdr:colOff>0</xdr:colOff>
                    <xdr:row>18</xdr:row>
                    <xdr:rowOff>0</xdr:rowOff>
                  </to>
                </anchor>
              </controlPr>
            </control>
          </mc:Choice>
        </mc:AlternateContent>
        <mc:AlternateContent xmlns:mc="http://schemas.openxmlformats.org/markup-compatibility/2006">
          <mc:Choice Requires="x14">
            <control shapeId="19496" r:id="rId67" name="Option Button 9256">
              <controlPr defaultSize="0" autoFill="0" autoLine="0" autoPict="0">
                <anchor moveWithCells="1" sizeWithCells="1">
                  <from>
                    <xdr:col>16</xdr:col>
                    <xdr:colOff>220980</xdr:colOff>
                    <xdr:row>17</xdr:row>
                    <xdr:rowOff>0</xdr:rowOff>
                  </from>
                  <to>
                    <xdr:col>17</xdr:col>
                    <xdr:colOff>0</xdr:colOff>
                    <xdr:row>18</xdr:row>
                    <xdr:rowOff>0</xdr:rowOff>
                  </to>
                </anchor>
              </controlPr>
            </control>
          </mc:Choice>
        </mc:AlternateContent>
        <mc:AlternateContent xmlns:mc="http://schemas.openxmlformats.org/markup-compatibility/2006">
          <mc:Choice Requires="x14">
            <control shapeId="19497" r:id="rId68" name="Group Box 9257">
              <controlPr defaultSize="0" autoFill="0" autoPict="0">
                <anchor moveWithCells="1" sizeWithCells="1">
                  <from>
                    <xdr:col>15</xdr:col>
                    <xdr:colOff>0</xdr:colOff>
                    <xdr:row>17</xdr:row>
                    <xdr:rowOff>0</xdr:rowOff>
                  </from>
                  <to>
                    <xdr:col>17</xdr:col>
                    <xdr:colOff>0</xdr:colOff>
                    <xdr:row>18</xdr:row>
                    <xdr:rowOff>0</xdr:rowOff>
                  </to>
                </anchor>
              </controlPr>
            </control>
          </mc:Choice>
        </mc:AlternateContent>
        <mc:AlternateContent xmlns:mc="http://schemas.openxmlformats.org/markup-compatibility/2006">
          <mc:Choice Requires="x14">
            <control shapeId="19498" r:id="rId69" name="Option Button 9258">
              <controlPr defaultSize="0" autoFill="0" autoLine="0" autoPict="0">
                <anchor moveWithCells="1" sizeWithCells="1">
                  <from>
                    <xdr:col>15</xdr:col>
                    <xdr:colOff>220980</xdr:colOff>
                    <xdr:row>18</xdr:row>
                    <xdr:rowOff>0</xdr:rowOff>
                  </from>
                  <to>
                    <xdr:col>16</xdr:col>
                    <xdr:colOff>0</xdr:colOff>
                    <xdr:row>19</xdr:row>
                    <xdr:rowOff>0</xdr:rowOff>
                  </to>
                </anchor>
              </controlPr>
            </control>
          </mc:Choice>
        </mc:AlternateContent>
        <mc:AlternateContent xmlns:mc="http://schemas.openxmlformats.org/markup-compatibility/2006">
          <mc:Choice Requires="x14">
            <control shapeId="19499" r:id="rId70" name="Option Button 9259">
              <controlPr defaultSize="0" autoFill="0" autoLine="0" autoPict="0">
                <anchor moveWithCells="1" sizeWithCells="1">
                  <from>
                    <xdr:col>16</xdr:col>
                    <xdr:colOff>220980</xdr:colOff>
                    <xdr:row>18</xdr:row>
                    <xdr:rowOff>0</xdr:rowOff>
                  </from>
                  <to>
                    <xdr:col>17</xdr:col>
                    <xdr:colOff>0</xdr:colOff>
                    <xdr:row>19</xdr:row>
                    <xdr:rowOff>0</xdr:rowOff>
                  </to>
                </anchor>
              </controlPr>
            </control>
          </mc:Choice>
        </mc:AlternateContent>
        <mc:AlternateContent xmlns:mc="http://schemas.openxmlformats.org/markup-compatibility/2006">
          <mc:Choice Requires="x14">
            <control shapeId="19500" r:id="rId71" name="Group Box 9260">
              <controlPr defaultSize="0" autoFill="0" autoPict="0">
                <anchor moveWithCells="1" sizeWithCells="1">
                  <from>
                    <xdr:col>15</xdr:col>
                    <xdr:colOff>0</xdr:colOff>
                    <xdr:row>18</xdr:row>
                    <xdr:rowOff>0</xdr:rowOff>
                  </from>
                  <to>
                    <xdr:col>17</xdr:col>
                    <xdr:colOff>0</xdr:colOff>
                    <xdr:row>19</xdr:row>
                    <xdr:rowOff>0</xdr:rowOff>
                  </to>
                </anchor>
              </controlPr>
            </control>
          </mc:Choice>
        </mc:AlternateContent>
        <mc:AlternateContent xmlns:mc="http://schemas.openxmlformats.org/markup-compatibility/2006">
          <mc:Choice Requires="x14">
            <control shapeId="19501" r:id="rId72" name="Option Button 9261">
              <controlPr defaultSize="0" autoFill="0" autoLine="0" autoPict="0">
                <anchor moveWithCells="1" sizeWithCells="1">
                  <from>
                    <xdr:col>15</xdr:col>
                    <xdr:colOff>220980</xdr:colOff>
                    <xdr:row>19</xdr:row>
                    <xdr:rowOff>0</xdr:rowOff>
                  </from>
                  <to>
                    <xdr:col>16</xdr:col>
                    <xdr:colOff>0</xdr:colOff>
                    <xdr:row>20</xdr:row>
                    <xdr:rowOff>0</xdr:rowOff>
                  </to>
                </anchor>
              </controlPr>
            </control>
          </mc:Choice>
        </mc:AlternateContent>
        <mc:AlternateContent xmlns:mc="http://schemas.openxmlformats.org/markup-compatibility/2006">
          <mc:Choice Requires="x14">
            <control shapeId="19502" r:id="rId73" name="Option Button 9262">
              <controlPr defaultSize="0" autoFill="0" autoLine="0" autoPict="0">
                <anchor moveWithCells="1" sizeWithCells="1">
                  <from>
                    <xdr:col>16</xdr:col>
                    <xdr:colOff>220980</xdr:colOff>
                    <xdr:row>19</xdr:row>
                    <xdr:rowOff>0</xdr:rowOff>
                  </from>
                  <to>
                    <xdr:col>17</xdr:col>
                    <xdr:colOff>0</xdr:colOff>
                    <xdr:row>20</xdr:row>
                    <xdr:rowOff>0</xdr:rowOff>
                  </to>
                </anchor>
              </controlPr>
            </control>
          </mc:Choice>
        </mc:AlternateContent>
        <mc:AlternateContent xmlns:mc="http://schemas.openxmlformats.org/markup-compatibility/2006">
          <mc:Choice Requires="x14">
            <control shapeId="19503" r:id="rId74" name="Group Box 9263">
              <controlPr defaultSize="0" autoFill="0" autoPict="0">
                <anchor moveWithCells="1" sizeWithCells="1">
                  <from>
                    <xdr:col>15</xdr:col>
                    <xdr:colOff>0</xdr:colOff>
                    <xdr:row>19</xdr:row>
                    <xdr:rowOff>0</xdr:rowOff>
                  </from>
                  <to>
                    <xdr:col>17</xdr:col>
                    <xdr:colOff>0</xdr:colOff>
                    <xdr:row>20</xdr:row>
                    <xdr:rowOff>0</xdr:rowOff>
                  </to>
                </anchor>
              </controlPr>
            </control>
          </mc:Choice>
        </mc:AlternateContent>
        <mc:AlternateContent xmlns:mc="http://schemas.openxmlformats.org/markup-compatibility/2006">
          <mc:Choice Requires="x14">
            <control shapeId="19504" r:id="rId75" name="Option Button 9264">
              <controlPr defaultSize="0" autoFill="0" autoLine="0" autoPict="0">
                <anchor moveWithCells="1" sizeWithCells="1">
                  <from>
                    <xdr:col>15</xdr:col>
                    <xdr:colOff>220980</xdr:colOff>
                    <xdr:row>20</xdr:row>
                    <xdr:rowOff>0</xdr:rowOff>
                  </from>
                  <to>
                    <xdr:col>16</xdr:col>
                    <xdr:colOff>0</xdr:colOff>
                    <xdr:row>21</xdr:row>
                    <xdr:rowOff>0</xdr:rowOff>
                  </to>
                </anchor>
              </controlPr>
            </control>
          </mc:Choice>
        </mc:AlternateContent>
        <mc:AlternateContent xmlns:mc="http://schemas.openxmlformats.org/markup-compatibility/2006">
          <mc:Choice Requires="x14">
            <control shapeId="19505" r:id="rId76" name="Option Button 9265">
              <controlPr defaultSize="0" autoFill="0" autoLine="0" autoPict="0">
                <anchor moveWithCells="1" sizeWithCells="1">
                  <from>
                    <xdr:col>16</xdr:col>
                    <xdr:colOff>220980</xdr:colOff>
                    <xdr:row>20</xdr:row>
                    <xdr:rowOff>0</xdr:rowOff>
                  </from>
                  <to>
                    <xdr:col>17</xdr:col>
                    <xdr:colOff>0</xdr:colOff>
                    <xdr:row>21</xdr:row>
                    <xdr:rowOff>0</xdr:rowOff>
                  </to>
                </anchor>
              </controlPr>
            </control>
          </mc:Choice>
        </mc:AlternateContent>
        <mc:AlternateContent xmlns:mc="http://schemas.openxmlformats.org/markup-compatibility/2006">
          <mc:Choice Requires="x14">
            <control shapeId="19506" r:id="rId77" name="Group Box 9266">
              <controlPr defaultSize="0" autoFill="0" autoPict="0">
                <anchor moveWithCells="1" sizeWithCells="1">
                  <from>
                    <xdr:col>15</xdr:col>
                    <xdr:colOff>0</xdr:colOff>
                    <xdr:row>20</xdr:row>
                    <xdr:rowOff>0</xdr:rowOff>
                  </from>
                  <to>
                    <xdr:col>17</xdr:col>
                    <xdr:colOff>0</xdr:colOff>
                    <xdr:row>21</xdr:row>
                    <xdr:rowOff>0</xdr:rowOff>
                  </to>
                </anchor>
              </controlPr>
            </control>
          </mc:Choice>
        </mc:AlternateContent>
        <mc:AlternateContent xmlns:mc="http://schemas.openxmlformats.org/markup-compatibility/2006">
          <mc:Choice Requires="x14">
            <control shapeId="19507" r:id="rId78" name="Option Button 9267">
              <controlPr defaultSize="0" autoFill="0" autoLine="0" autoPict="0">
                <anchor moveWithCells="1" sizeWithCells="1">
                  <from>
                    <xdr:col>15</xdr:col>
                    <xdr:colOff>220980</xdr:colOff>
                    <xdr:row>21</xdr:row>
                    <xdr:rowOff>0</xdr:rowOff>
                  </from>
                  <to>
                    <xdr:col>16</xdr:col>
                    <xdr:colOff>0</xdr:colOff>
                    <xdr:row>22</xdr:row>
                    <xdr:rowOff>0</xdr:rowOff>
                  </to>
                </anchor>
              </controlPr>
            </control>
          </mc:Choice>
        </mc:AlternateContent>
        <mc:AlternateContent xmlns:mc="http://schemas.openxmlformats.org/markup-compatibility/2006">
          <mc:Choice Requires="x14">
            <control shapeId="19508" r:id="rId79" name="Option Button 9268">
              <controlPr defaultSize="0" autoFill="0" autoLine="0" autoPict="0">
                <anchor moveWithCells="1" sizeWithCells="1">
                  <from>
                    <xdr:col>16</xdr:col>
                    <xdr:colOff>220980</xdr:colOff>
                    <xdr:row>21</xdr:row>
                    <xdr:rowOff>0</xdr:rowOff>
                  </from>
                  <to>
                    <xdr:col>17</xdr:col>
                    <xdr:colOff>0</xdr:colOff>
                    <xdr:row>22</xdr:row>
                    <xdr:rowOff>0</xdr:rowOff>
                  </to>
                </anchor>
              </controlPr>
            </control>
          </mc:Choice>
        </mc:AlternateContent>
        <mc:AlternateContent xmlns:mc="http://schemas.openxmlformats.org/markup-compatibility/2006">
          <mc:Choice Requires="x14">
            <control shapeId="19509" r:id="rId80" name="Group Box 9269">
              <controlPr defaultSize="0" autoFill="0" autoPict="0">
                <anchor moveWithCells="1" sizeWithCells="1">
                  <from>
                    <xdr:col>15</xdr:col>
                    <xdr:colOff>0</xdr:colOff>
                    <xdr:row>21</xdr:row>
                    <xdr:rowOff>0</xdr:rowOff>
                  </from>
                  <to>
                    <xdr:col>17</xdr:col>
                    <xdr:colOff>0</xdr:colOff>
                    <xdr:row>22</xdr:row>
                    <xdr:rowOff>0</xdr:rowOff>
                  </to>
                </anchor>
              </controlPr>
            </control>
          </mc:Choice>
        </mc:AlternateContent>
        <mc:AlternateContent xmlns:mc="http://schemas.openxmlformats.org/markup-compatibility/2006">
          <mc:Choice Requires="x14">
            <control shapeId="19510" r:id="rId81" name="Option Button 9270">
              <controlPr defaultSize="0" autoFill="0" autoLine="0" autoPict="0">
                <anchor moveWithCells="1" sizeWithCells="1">
                  <from>
                    <xdr:col>15</xdr:col>
                    <xdr:colOff>220980</xdr:colOff>
                    <xdr:row>31</xdr:row>
                    <xdr:rowOff>0</xdr:rowOff>
                  </from>
                  <to>
                    <xdr:col>16</xdr:col>
                    <xdr:colOff>0</xdr:colOff>
                    <xdr:row>32</xdr:row>
                    <xdr:rowOff>0</xdr:rowOff>
                  </to>
                </anchor>
              </controlPr>
            </control>
          </mc:Choice>
        </mc:AlternateContent>
        <mc:AlternateContent xmlns:mc="http://schemas.openxmlformats.org/markup-compatibility/2006">
          <mc:Choice Requires="x14">
            <control shapeId="19511" r:id="rId82" name="Option Button 9271">
              <controlPr defaultSize="0" autoFill="0" autoLine="0" autoPict="0">
                <anchor moveWithCells="1" sizeWithCells="1">
                  <from>
                    <xdr:col>16</xdr:col>
                    <xdr:colOff>220980</xdr:colOff>
                    <xdr:row>31</xdr:row>
                    <xdr:rowOff>0</xdr:rowOff>
                  </from>
                  <to>
                    <xdr:col>17</xdr:col>
                    <xdr:colOff>0</xdr:colOff>
                    <xdr:row>32</xdr:row>
                    <xdr:rowOff>0</xdr:rowOff>
                  </to>
                </anchor>
              </controlPr>
            </control>
          </mc:Choice>
        </mc:AlternateContent>
        <mc:AlternateContent xmlns:mc="http://schemas.openxmlformats.org/markup-compatibility/2006">
          <mc:Choice Requires="x14">
            <control shapeId="19512" r:id="rId83" name="Group Box 9272">
              <controlPr defaultSize="0" autoFill="0" autoPict="0">
                <anchor moveWithCells="1" sizeWithCells="1">
                  <from>
                    <xdr:col>15</xdr:col>
                    <xdr:colOff>0</xdr:colOff>
                    <xdr:row>31</xdr:row>
                    <xdr:rowOff>0</xdr:rowOff>
                  </from>
                  <to>
                    <xdr:col>17</xdr:col>
                    <xdr:colOff>0</xdr:colOff>
                    <xdr:row>32</xdr:row>
                    <xdr:rowOff>0</xdr:rowOff>
                  </to>
                </anchor>
              </controlPr>
            </control>
          </mc:Choice>
        </mc:AlternateContent>
        <mc:AlternateContent xmlns:mc="http://schemas.openxmlformats.org/markup-compatibility/2006">
          <mc:Choice Requires="x14">
            <control shapeId="19790" r:id="rId84" name="Option Button 9550">
              <controlPr defaultSize="0" autoFill="0" autoLine="0" autoPict="0">
                <anchor moveWithCells="1" sizeWithCells="1">
                  <from>
                    <xdr:col>15</xdr:col>
                    <xdr:colOff>220980</xdr:colOff>
                    <xdr:row>16</xdr:row>
                    <xdr:rowOff>0</xdr:rowOff>
                  </from>
                  <to>
                    <xdr:col>16</xdr:col>
                    <xdr:colOff>0</xdr:colOff>
                    <xdr:row>17</xdr:row>
                    <xdr:rowOff>0</xdr:rowOff>
                  </to>
                </anchor>
              </controlPr>
            </control>
          </mc:Choice>
        </mc:AlternateContent>
        <mc:AlternateContent xmlns:mc="http://schemas.openxmlformats.org/markup-compatibility/2006">
          <mc:Choice Requires="x14">
            <control shapeId="19791" r:id="rId85" name="Option Button 9551">
              <controlPr defaultSize="0" autoFill="0" autoLine="0" autoPict="0">
                <anchor moveWithCells="1" sizeWithCells="1">
                  <from>
                    <xdr:col>16</xdr:col>
                    <xdr:colOff>220980</xdr:colOff>
                    <xdr:row>16</xdr:row>
                    <xdr:rowOff>0</xdr:rowOff>
                  </from>
                  <to>
                    <xdr:col>17</xdr:col>
                    <xdr:colOff>0</xdr:colOff>
                    <xdr:row>17</xdr:row>
                    <xdr:rowOff>0</xdr:rowOff>
                  </to>
                </anchor>
              </controlPr>
            </control>
          </mc:Choice>
        </mc:AlternateContent>
        <mc:AlternateContent xmlns:mc="http://schemas.openxmlformats.org/markup-compatibility/2006">
          <mc:Choice Requires="x14">
            <control shapeId="19792" r:id="rId86" name="Group Box 9552">
              <controlPr defaultSize="0" autoFill="0" autoPict="0">
                <anchor moveWithCells="1" sizeWithCells="1">
                  <from>
                    <xdr:col>15</xdr:col>
                    <xdr:colOff>0</xdr:colOff>
                    <xdr:row>16</xdr:row>
                    <xdr:rowOff>0</xdr:rowOff>
                  </from>
                  <to>
                    <xdr:col>17</xdr:col>
                    <xdr:colOff>0</xdr:colOff>
                    <xdr:row>17</xdr:row>
                    <xdr:rowOff>0</xdr:rowOff>
                  </to>
                </anchor>
              </controlPr>
            </control>
          </mc:Choice>
        </mc:AlternateContent>
        <mc:AlternateContent xmlns:mc="http://schemas.openxmlformats.org/markup-compatibility/2006">
          <mc:Choice Requires="x14">
            <control shapeId="19839" r:id="rId87" name="Option Button 9599">
              <controlPr defaultSize="0" autoFill="0" autoLine="0" autoPict="0">
                <anchor moveWithCells="1" sizeWithCells="1">
                  <from>
                    <xdr:col>11</xdr:col>
                    <xdr:colOff>228600</xdr:colOff>
                    <xdr:row>17</xdr:row>
                    <xdr:rowOff>0</xdr:rowOff>
                  </from>
                  <to>
                    <xdr:col>12</xdr:col>
                    <xdr:colOff>0</xdr:colOff>
                    <xdr:row>18</xdr:row>
                    <xdr:rowOff>0</xdr:rowOff>
                  </to>
                </anchor>
              </controlPr>
            </control>
          </mc:Choice>
        </mc:AlternateContent>
        <mc:AlternateContent xmlns:mc="http://schemas.openxmlformats.org/markup-compatibility/2006">
          <mc:Choice Requires="x14">
            <control shapeId="19840" r:id="rId88" name="Option Button 9600">
              <controlPr defaultSize="0" autoFill="0" autoLine="0" autoPict="0">
                <anchor moveWithCells="1" sizeWithCells="1">
                  <from>
                    <xdr:col>13</xdr:col>
                    <xdr:colOff>228600</xdr:colOff>
                    <xdr:row>17</xdr:row>
                    <xdr:rowOff>0</xdr:rowOff>
                  </from>
                  <to>
                    <xdr:col>14</xdr:col>
                    <xdr:colOff>0</xdr:colOff>
                    <xdr:row>18</xdr:row>
                    <xdr:rowOff>0</xdr:rowOff>
                  </to>
                </anchor>
              </controlPr>
            </control>
          </mc:Choice>
        </mc:AlternateContent>
        <mc:AlternateContent xmlns:mc="http://schemas.openxmlformats.org/markup-compatibility/2006">
          <mc:Choice Requires="x14">
            <control shapeId="19841" r:id="rId89" name="Group Box 9601">
              <controlPr defaultSize="0" autoFill="0" autoPict="0">
                <anchor moveWithCells="1" sizeWithCells="1">
                  <from>
                    <xdr:col>11</xdr:col>
                    <xdr:colOff>0</xdr:colOff>
                    <xdr:row>17</xdr:row>
                    <xdr:rowOff>0</xdr:rowOff>
                  </from>
                  <to>
                    <xdr:col>14</xdr:col>
                    <xdr:colOff>0</xdr:colOff>
                    <xdr:row>18</xdr:row>
                    <xdr:rowOff>0</xdr:rowOff>
                  </to>
                </anchor>
              </controlPr>
            </control>
          </mc:Choice>
        </mc:AlternateContent>
        <mc:AlternateContent xmlns:mc="http://schemas.openxmlformats.org/markup-compatibility/2006">
          <mc:Choice Requires="x14">
            <control shapeId="19842" r:id="rId90" name="Option Button 9602">
              <controlPr defaultSize="0" autoFill="0" autoLine="0" autoPict="0">
                <anchor moveWithCells="1">
                  <from>
                    <xdr:col>11</xdr:col>
                    <xdr:colOff>228600</xdr:colOff>
                    <xdr:row>26</xdr:row>
                    <xdr:rowOff>0</xdr:rowOff>
                  </from>
                  <to>
                    <xdr:col>12</xdr:col>
                    <xdr:colOff>0</xdr:colOff>
                    <xdr:row>27</xdr:row>
                    <xdr:rowOff>0</xdr:rowOff>
                  </to>
                </anchor>
              </controlPr>
            </control>
          </mc:Choice>
        </mc:AlternateContent>
        <mc:AlternateContent xmlns:mc="http://schemas.openxmlformats.org/markup-compatibility/2006">
          <mc:Choice Requires="x14">
            <control shapeId="19843" r:id="rId91" name="Option Button 9603">
              <controlPr defaultSize="0" autoFill="0" autoLine="0" autoPict="0">
                <anchor moveWithCells="1">
                  <from>
                    <xdr:col>13</xdr:col>
                    <xdr:colOff>220980</xdr:colOff>
                    <xdr:row>26</xdr:row>
                    <xdr:rowOff>0</xdr:rowOff>
                  </from>
                  <to>
                    <xdr:col>14</xdr:col>
                    <xdr:colOff>0</xdr:colOff>
                    <xdr:row>27</xdr:row>
                    <xdr:rowOff>0</xdr:rowOff>
                  </to>
                </anchor>
              </controlPr>
            </control>
          </mc:Choice>
        </mc:AlternateContent>
        <mc:AlternateContent xmlns:mc="http://schemas.openxmlformats.org/markup-compatibility/2006">
          <mc:Choice Requires="x14">
            <control shapeId="19844" r:id="rId92" name="Group Box 9604">
              <controlPr defaultSize="0" autoFill="0" autoPict="0">
                <anchor moveWithCells="1" sizeWithCells="1">
                  <from>
                    <xdr:col>11</xdr:col>
                    <xdr:colOff>0</xdr:colOff>
                    <xdr:row>26</xdr:row>
                    <xdr:rowOff>0</xdr:rowOff>
                  </from>
                  <to>
                    <xdr:col>14</xdr:col>
                    <xdr:colOff>0</xdr:colOff>
                    <xdr:row>27</xdr:row>
                    <xdr:rowOff>0</xdr:rowOff>
                  </to>
                </anchor>
              </controlPr>
            </control>
          </mc:Choice>
        </mc:AlternateContent>
        <mc:AlternateContent xmlns:mc="http://schemas.openxmlformats.org/markup-compatibility/2006">
          <mc:Choice Requires="x14">
            <control shapeId="20489" r:id="rId93" name="Option Button 10249">
              <controlPr defaultSize="0" autoFill="0" autoLine="0" autoPict="0">
                <anchor moveWithCells="1">
                  <from>
                    <xdr:col>15</xdr:col>
                    <xdr:colOff>220980</xdr:colOff>
                    <xdr:row>31</xdr:row>
                    <xdr:rowOff>144780</xdr:rowOff>
                  </from>
                  <to>
                    <xdr:col>15</xdr:col>
                    <xdr:colOff>563880</xdr:colOff>
                    <xdr:row>33</xdr:row>
                    <xdr:rowOff>45720</xdr:rowOff>
                  </to>
                </anchor>
              </controlPr>
            </control>
          </mc:Choice>
        </mc:AlternateContent>
        <mc:AlternateContent xmlns:mc="http://schemas.openxmlformats.org/markup-compatibility/2006">
          <mc:Choice Requires="x14">
            <control shapeId="20490" r:id="rId94" name="Option Button 10250">
              <controlPr defaultSize="0" autoFill="0" autoLine="0" autoPict="0">
                <anchor moveWithCells="1">
                  <from>
                    <xdr:col>16</xdr:col>
                    <xdr:colOff>228600</xdr:colOff>
                    <xdr:row>31</xdr:row>
                    <xdr:rowOff>129540</xdr:rowOff>
                  </from>
                  <to>
                    <xdr:col>19</xdr:col>
                    <xdr:colOff>106680</xdr:colOff>
                    <xdr:row>33</xdr:row>
                    <xdr:rowOff>30480</xdr:rowOff>
                  </to>
                </anchor>
              </controlPr>
            </control>
          </mc:Choice>
        </mc:AlternateContent>
        <mc:AlternateContent xmlns:mc="http://schemas.openxmlformats.org/markup-compatibility/2006">
          <mc:Choice Requires="x14">
            <control shapeId="19206" r:id="rId95" name="Option Button 8966">
              <controlPr defaultSize="0" autoFill="0" autoLine="0" autoPict="0">
                <anchor moveWithCells="1" sizeWithCells="1">
                  <from>
                    <xdr:col>11</xdr:col>
                    <xdr:colOff>228600</xdr:colOff>
                    <xdr:row>12</xdr:row>
                    <xdr:rowOff>0</xdr:rowOff>
                  </from>
                  <to>
                    <xdr:col>12</xdr:col>
                    <xdr:colOff>0</xdr:colOff>
                    <xdr:row>13</xdr:row>
                    <xdr:rowOff>0</xdr:rowOff>
                  </to>
                </anchor>
              </controlPr>
            </control>
          </mc:Choice>
        </mc:AlternateContent>
        <mc:AlternateContent xmlns:mc="http://schemas.openxmlformats.org/markup-compatibility/2006">
          <mc:Choice Requires="x14">
            <control shapeId="19207" r:id="rId96" name="Option Button 8967">
              <controlPr defaultSize="0" autoFill="0" autoLine="0" autoPict="0">
                <anchor moveWithCells="1" sizeWithCells="1">
                  <from>
                    <xdr:col>12</xdr:col>
                    <xdr:colOff>228600</xdr:colOff>
                    <xdr:row>12</xdr:row>
                    <xdr:rowOff>0</xdr:rowOff>
                  </from>
                  <to>
                    <xdr:col>13</xdr:col>
                    <xdr:colOff>0</xdr:colOff>
                    <xdr:row>13</xdr:row>
                    <xdr:rowOff>0</xdr:rowOff>
                  </to>
                </anchor>
              </controlPr>
            </control>
          </mc:Choice>
        </mc:AlternateContent>
        <mc:AlternateContent xmlns:mc="http://schemas.openxmlformats.org/markup-compatibility/2006">
          <mc:Choice Requires="x14">
            <control shapeId="19208" r:id="rId97" name="Option Button 8968">
              <controlPr defaultSize="0" autoFill="0" autoLine="0" autoPict="0">
                <anchor moveWithCells="1" sizeWithCells="1">
                  <from>
                    <xdr:col>13</xdr:col>
                    <xdr:colOff>228600</xdr:colOff>
                    <xdr:row>12</xdr:row>
                    <xdr:rowOff>0</xdr:rowOff>
                  </from>
                  <to>
                    <xdr:col>14</xdr:col>
                    <xdr:colOff>0</xdr:colOff>
                    <xdr:row>13</xdr:row>
                    <xdr:rowOff>0</xdr:rowOff>
                  </to>
                </anchor>
              </controlPr>
            </control>
          </mc:Choice>
        </mc:AlternateContent>
        <mc:AlternateContent xmlns:mc="http://schemas.openxmlformats.org/markup-compatibility/2006">
          <mc:Choice Requires="x14">
            <control shapeId="19209" r:id="rId98" name="Group Box 8969">
              <controlPr defaultSize="0" autoFill="0" autoPict="0" macro="[0]!グループ8969_Click">
                <anchor moveWithCells="1" sizeWithCells="1">
                  <from>
                    <xdr:col>11</xdr:col>
                    <xdr:colOff>0</xdr:colOff>
                    <xdr:row>12</xdr:row>
                    <xdr:rowOff>0</xdr:rowOff>
                  </from>
                  <to>
                    <xdr:col>14</xdr:col>
                    <xdr:colOff>0</xdr:colOff>
                    <xdr:row>13</xdr:row>
                    <xdr:rowOff>0</xdr:rowOff>
                  </to>
                </anchor>
              </controlPr>
            </control>
          </mc:Choice>
        </mc:AlternateContent>
        <mc:AlternateContent xmlns:mc="http://schemas.openxmlformats.org/markup-compatibility/2006">
          <mc:Choice Requires="x14">
            <control shapeId="19218" r:id="rId99" name="Option Button 8978">
              <controlPr defaultSize="0" autoFill="0" autoLine="0" autoPict="0">
                <anchor moveWithCells="1" sizeWithCells="1">
                  <from>
                    <xdr:col>11</xdr:col>
                    <xdr:colOff>228600</xdr:colOff>
                    <xdr:row>14</xdr:row>
                    <xdr:rowOff>0</xdr:rowOff>
                  </from>
                  <to>
                    <xdr:col>12</xdr:col>
                    <xdr:colOff>0</xdr:colOff>
                    <xdr:row>15</xdr:row>
                    <xdr:rowOff>0</xdr:rowOff>
                  </to>
                </anchor>
              </controlPr>
            </control>
          </mc:Choice>
        </mc:AlternateContent>
        <mc:AlternateContent xmlns:mc="http://schemas.openxmlformats.org/markup-compatibility/2006">
          <mc:Choice Requires="x14">
            <control shapeId="19219" r:id="rId100" name="Option Button 8979">
              <controlPr defaultSize="0" autoFill="0" autoLine="0" autoPict="0">
                <anchor moveWithCells="1" sizeWithCells="1">
                  <from>
                    <xdr:col>12</xdr:col>
                    <xdr:colOff>228600</xdr:colOff>
                    <xdr:row>14</xdr:row>
                    <xdr:rowOff>0</xdr:rowOff>
                  </from>
                  <to>
                    <xdr:col>13</xdr:col>
                    <xdr:colOff>0</xdr:colOff>
                    <xdr:row>15</xdr:row>
                    <xdr:rowOff>0</xdr:rowOff>
                  </to>
                </anchor>
              </controlPr>
            </control>
          </mc:Choice>
        </mc:AlternateContent>
        <mc:AlternateContent xmlns:mc="http://schemas.openxmlformats.org/markup-compatibility/2006">
          <mc:Choice Requires="x14">
            <control shapeId="19220" r:id="rId101" name="Option Button 8980">
              <controlPr defaultSize="0" autoFill="0" autoLine="0" autoPict="0">
                <anchor moveWithCells="1" sizeWithCells="1">
                  <from>
                    <xdr:col>13</xdr:col>
                    <xdr:colOff>228600</xdr:colOff>
                    <xdr:row>14</xdr:row>
                    <xdr:rowOff>0</xdr:rowOff>
                  </from>
                  <to>
                    <xdr:col>14</xdr:col>
                    <xdr:colOff>0</xdr:colOff>
                    <xdr:row>15</xdr:row>
                    <xdr:rowOff>0</xdr:rowOff>
                  </to>
                </anchor>
              </controlPr>
            </control>
          </mc:Choice>
        </mc:AlternateContent>
        <mc:AlternateContent xmlns:mc="http://schemas.openxmlformats.org/markup-compatibility/2006">
          <mc:Choice Requires="x14">
            <control shapeId="19244" r:id="rId102" name="Group Box 9004">
              <controlPr defaultSize="0" autoFill="0" autoPict="0">
                <anchor moveWithCells="1" sizeWithCells="1">
                  <from>
                    <xdr:col>11</xdr:col>
                    <xdr:colOff>0</xdr:colOff>
                    <xdr:row>14</xdr:row>
                    <xdr:rowOff>0</xdr:rowOff>
                  </from>
                  <to>
                    <xdr:col>14</xdr:col>
                    <xdr:colOff>0</xdr:colOff>
                    <xdr:row>15</xdr:row>
                    <xdr:rowOff>0</xdr:rowOff>
                  </to>
                </anchor>
              </controlPr>
            </control>
          </mc:Choice>
        </mc:AlternateContent>
        <mc:AlternateContent xmlns:mc="http://schemas.openxmlformats.org/markup-compatibility/2006">
          <mc:Choice Requires="x14">
            <control shapeId="19248" r:id="rId103" name="Option Button 9008">
              <controlPr defaultSize="0" autoFill="0" autoLine="0" autoPict="0">
                <anchor moveWithCells="1" sizeWithCells="1">
                  <from>
                    <xdr:col>11</xdr:col>
                    <xdr:colOff>228600</xdr:colOff>
                    <xdr:row>13</xdr:row>
                    <xdr:rowOff>0</xdr:rowOff>
                  </from>
                  <to>
                    <xdr:col>12</xdr:col>
                    <xdr:colOff>0</xdr:colOff>
                    <xdr:row>14</xdr:row>
                    <xdr:rowOff>0</xdr:rowOff>
                  </to>
                </anchor>
              </controlPr>
            </control>
          </mc:Choice>
        </mc:AlternateContent>
        <mc:AlternateContent xmlns:mc="http://schemas.openxmlformats.org/markup-compatibility/2006">
          <mc:Choice Requires="x14">
            <control shapeId="19249" r:id="rId104" name="Option Button 9009">
              <controlPr defaultSize="0" autoFill="0" autoLine="0" autoPict="0">
                <anchor moveWithCells="1" sizeWithCells="1">
                  <from>
                    <xdr:col>13</xdr:col>
                    <xdr:colOff>228600</xdr:colOff>
                    <xdr:row>13</xdr:row>
                    <xdr:rowOff>0</xdr:rowOff>
                  </from>
                  <to>
                    <xdr:col>14</xdr:col>
                    <xdr:colOff>0</xdr:colOff>
                    <xdr:row>14</xdr:row>
                    <xdr:rowOff>0</xdr:rowOff>
                  </to>
                </anchor>
              </controlPr>
            </control>
          </mc:Choice>
        </mc:AlternateContent>
        <mc:AlternateContent xmlns:mc="http://schemas.openxmlformats.org/markup-compatibility/2006">
          <mc:Choice Requires="x14">
            <control shapeId="19250" r:id="rId105" name="Group Box 9010">
              <controlPr defaultSize="0" autoFill="0" autoPict="0">
                <anchor moveWithCells="1" sizeWithCells="1">
                  <from>
                    <xdr:col>11</xdr:col>
                    <xdr:colOff>0</xdr:colOff>
                    <xdr:row>13</xdr:row>
                    <xdr:rowOff>0</xdr:rowOff>
                  </from>
                  <to>
                    <xdr:col>14</xdr:col>
                    <xdr:colOff>0</xdr:colOff>
                    <xdr:row>14</xdr:row>
                    <xdr:rowOff>0</xdr:rowOff>
                  </to>
                </anchor>
              </controlPr>
            </control>
          </mc:Choice>
        </mc:AlternateContent>
        <mc:AlternateContent xmlns:mc="http://schemas.openxmlformats.org/markup-compatibility/2006">
          <mc:Choice Requires="x14">
            <control shapeId="19251" r:id="rId106" name="Option Button 9011">
              <controlPr defaultSize="0" autoFill="0" autoLine="0" autoPict="0">
                <anchor moveWithCells="1" sizeWithCells="1">
                  <from>
                    <xdr:col>11</xdr:col>
                    <xdr:colOff>228600</xdr:colOff>
                    <xdr:row>15</xdr:row>
                    <xdr:rowOff>0</xdr:rowOff>
                  </from>
                  <to>
                    <xdr:col>12</xdr:col>
                    <xdr:colOff>0</xdr:colOff>
                    <xdr:row>16</xdr:row>
                    <xdr:rowOff>0</xdr:rowOff>
                  </to>
                </anchor>
              </controlPr>
            </control>
          </mc:Choice>
        </mc:AlternateContent>
        <mc:AlternateContent xmlns:mc="http://schemas.openxmlformats.org/markup-compatibility/2006">
          <mc:Choice Requires="x14">
            <control shapeId="19252" r:id="rId107" name="Option Button 9012">
              <controlPr defaultSize="0" autoFill="0" autoLine="0" autoPict="0">
                <anchor moveWithCells="1" sizeWithCells="1">
                  <from>
                    <xdr:col>12</xdr:col>
                    <xdr:colOff>228600</xdr:colOff>
                    <xdr:row>15</xdr:row>
                    <xdr:rowOff>0</xdr:rowOff>
                  </from>
                  <to>
                    <xdr:col>13</xdr:col>
                    <xdr:colOff>0</xdr:colOff>
                    <xdr:row>16</xdr:row>
                    <xdr:rowOff>0</xdr:rowOff>
                  </to>
                </anchor>
              </controlPr>
            </control>
          </mc:Choice>
        </mc:AlternateContent>
        <mc:AlternateContent xmlns:mc="http://schemas.openxmlformats.org/markup-compatibility/2006">
          <mc:Choice Requires="x14">
            <control shapeId="19253" r:id="rId108" name="Option Button 9013">
              <controlPr defaultSize="0" autoFill="0" autoLine="0" autoPict="0">
                <anchor moveWithCells="1" sizeWithCells="1">
                  <from>
                    <xdr:col>13</xdr:col>
                    <xdr:colOff>228600</xdr:colOff>
                    <xdr:row>15</xdr:row>
                    <xdr:rowOff>0</xdr:rowOff>
                  </from>
                  <to>
                    <xdr:col>14</xdr:col>
                    <xdr:colOff>0</xdr:colOff>
                    <xdr:row>16</xdr:row>
                    <xdr:rowOff>0</xdr:rowOff>
                  </to>
                </anchor>
              </controlPr>
            </control>
          </mc:Choice>
        </mc:AlternateContent>
        <mc:AlternateContent xmlns:mc="http://schemas.openxmlformats.org/markup-compatibility/2006">
          <mc:Choice Requires="x14">
            <control shapeId="19254" r:id="rId109" name="Group Box 9014">
              <controlPr defaultSize="0" autoFill="0" autoPict="0" macro="[0]!グループ9014_Click">
                <anchor moveWithCells="1" sizeWithCells="1">
                  <from>
                    <xdr:col>11</xdr:col>
                    <xdr:colOff>0</xdr:colOff>
                    <xdr:row>15</xdr:row>
                    <xdr:rowOff>0</xdr:rowOff>
                  </from>
                  <to>
                    <xdr:col>14</xdr:col>
                    <xdr:colOff>0</xdr:colOff>
                    <xdr:row>16</xdr:row>
                    <xdr:rowOff>0</xdr:rowOff>
                  </to>
                </anchor>
              </controlPr>
            </control>
          </mc:Choice>
        </mc:AlternateContent>
        <mc:AlternateContent xmlns:mc="http://schemas.openxmlformats.org/markup-compatibility/2006">
          <mc:Choice Requires="x14">
            <control shapeId="19458" r:id="rId110" name="Option Button 9218">
              <controlPr defaultSize="0" autoFill="0" autoLine="0" autoPict="0">
                <anchor moveWithCells="1" sizeWithCells="1">
                  <from>
                    <xdr:col>15</xdr:col>
                    <xdr:colOff>220980</xdr:colOff>
                    <xdr:row>12</xdr:row>
                    <xdr:rowOff>0</xdr:rowOff>
                  </from>
                  <to>
                    <xdr:col>16</xdr:col>
                    <xdr:colOff>0</xdr:colOff>
                    <xdr:row>13</xdr:row>
                    <xdr:rowOff>0</xdr:rowOff>
                  </to>
                </anchor>
              </controlPr>
            </control>
          </mc:Choice>
        </mc:AlternateContent>
        <mc:AlternateContent xmlns:mc="http://schemas.openxmlformats.org/markup-compatibility/2006">
          <mc:Choice Requires="x14">
            <control shapeId="19459" r:id="rId111" name="Option Button 9219">
              <controlPr defaultSize="0" autoFill="0" autoLine="0" autoPict="0">
                <anchor moveWithCells="1" sizeWithCells="1">
                  <from>
                    <xdr:col>16</xdr:col>
                    <xdr:colOff>220980</xdr:colOff>
                    <xdr:row>12</xdr:row>
                    <xdr:rowOff>0</xdr:rowOff>
                  </from>
                  <to>
                    <xdr:col>17</xdr:col>
                    <xdr:colOff>0</xdr:colOff>
                    <xdr:row>13</xdr:row>
                    <xdr:rowOff>0</xdr:rowOff>
                  </to>
                </anchor>
              </controlPr>
            </control>
          </mc:Choice>
        </mc:AlternateContent>
        <mc:AlternateContent xmlns:mc="http://schemas.openxmlformats.org/markup-compatibility/2006">
          <mc:Choice Requires="x14">
            <control shapeId="19460" r:id="rId112" name="Group Box 9220">
              <controlPr defaultSize="0" autoFill="0" autoPict="0" macro="[0]!グループ9220_Click">
                <anchor moveWithCells="1" sizeWithCells="1">
                  <from>
                    <xdr:col>15</xdr:col>
                    <xdr:colOff>0</xdr:colOff>
                    <xdr:row>12</xdr:row>
                    <xdr:rowOff>0</xdr:rowOff>
                  </from>
                  <to>
                    <xdr:col>17</xdr:col>
                    <xdr:colOff>0</xdr:colOff>
                    <xdr:row>13</xdr:row>
                    <xdr:rowOff>0</xdr:rowOff>
                  </to>
                </anchor>
              </controlPr>
            </control>
          </mc:Choice>
        </mc:AlternateContent>
        <mc:AlternateContent xmlns:mc="http://schemas.openxmlformats.org/markup-compatibility/2006">
          <mc:Choice Requires="x14">
            <control shapeId="19461" r:id="rId113" name="Option Button 9221">
              <controlPr defaultSize="0" autoFill="0" autoLine="0" autoPict="0">
                <anchor moveWithCells="1" sizeWithCells="1">
                  <from>
                    <xdr:col>15</xdr:col>
                    <xdr:colOff>220980</xdr:colOff>
                    <xdr:row>13</xdr:row>
                    <xdr:rowOff>0</xdr:rowOff>
                  </from>
                  <to>
                    <xdr:col>16</xdr:col>
                    <xdr:colOff>0</xdr:colOff>
                    <xdr:row>14</xdr:row>
                    <xdr:rowOff>0</xdr:rowOff>
                  </to>
                </anchor>
              </controlPr>
            </control>
          </mc:Choice>
        </mc:AlternateContent>
        <mc:AlternateContent xmlns:mc="http://schemas.openxmlformats.org/markup-compatibility/2006">
          <mc:Choice Requires="x14">
            <control shapeId="19462" r:id="rId114" name="Option Button 9222">
              <controlPr defaultSize="0" autoFill="0" autoLine="0" autoPict="0">
                <anchor moveWithCells="1" sizeWithCells="1">
                  <from>
                    <xdr:col>16</xdr:col>
                    <xdr:colOff>220980</xdr:colOff>
                    <xdr:row>13</xdr:row>
                    <xdr:rowOff>0</xdr:rowOff>
                  </from>
                  <to>
                    <xdr:col>17</xdr:col>
                    <xdr:colOff>0</xdr:colOff>
                    <xdr:row>14</xdr:row>
                    <xdr:rowOff>0</xdr:rowOff>
                  </to>
                </anchor>
              </controlPr>
            </control>
          </mc:Choice>
        </mc:AlternateContent>
        <mc:AlternateContent xmlns:mc="http://schemas.openxmlformats.org/markup-compatibility/2006">
          <mc:Choice Requires="x14">
            <control shapeId="19463" r:id="rId115" name="Group Box 9223">
              <controlPr defaultSize="0" autoFill="0" autoPict="0">
                <anchor moveWithCells="1" sizeWithCells="1">
                  <from>
                    <xdr:col>15</xdr:col>
                    <xdr:colOff>0</xdr:colOff>
                    <xdr:row>13</xdr:row>
                    <xdr:rowOff>0</xdr:rowOff>
                  </from>
                  <to>
                    <xdr:col>17</xdr:col>
                    <xdr:colOff>0</xdr:colOff>
                    <xdr:row>14</xdr:row>
                    <xdr:rowOff>0</xdr:rowOff>
                  </to>
                </anchor>
              </controlPr>
            </control>
          </mc:Choice>
        </mc:AlternateContent>
        <mc:AlternateContent xmlns:mc="http://schemas.openxmlformats.org/markup-compatibility/2006">
          <mc:Choice Requires="x14">
            <control shapeId="19464" r:id="rId116" name="Option Button 9224">
              <controlPr defaultSize="0" autoFill="0" autoLine="0" autoPict="0">
                <anchor moveWithCells="1" sizeWithCells="1">
                  <from>
                    <xdr:col>15</xdr:col>
                    <xdr:colOff>220980</xdr:colOff>
                    <xdr:row>14</xdr:row>
                    <xdr:rowOff>0</xdr:rowOff>
                  </from>
                  <to>
                    <xdr:col>16</xdr:col>
                    <xdr:colOff>0</xdr:colOff>
                    <xdr:row>15</xdr:row>
                    <xdr:rowOff>0</xdr:rowOff>
                  </to>
                </anchor>
              </controlPr>
            </control>
          </mc:Choice>
        </mc:AlternateContent>
        <mc:AlternateContent xmlns:mc="http://schemas.openxmlformats.org/markup-compatibility/2006">
          <mc:Choice Requires="x14">
            <control shapeId="19465" r:id="rId117" name="Option Button 9225">
              <controlPr defaultSize="0" autoFill="0" autoLine="0" autoPict="0">
                <anchor moveWithCells="1" sizeWithCells="1">
                  <from>
                    <xdr:col>16</xdr:col>
                    <xdr:colOff>220980</xdr:colOff>
                    <xdr:row>14</xdr:row>
                    <xdr:rowOff>0</xdr:rowOff>
                  </from>
                  <to>
                    <xdr:col>17</xdr:col>
                    <xdr:colOff>0</xdr:colOff>
                    <xdr:row>15</xdr:row>
                    <xdr:rowOff>0</xdr:rowOff>
                  </to>
                </anchor>
              </controlPr>
            </control>
          </mc:Choice>
        </mc:AlternateContent>
        <mc:AlternateContent xmlns:mc="http://schemas.openxmlformats.org/markup-compatibility/2006">
          <mc:Choice Requires="x14">
            <control shapeId="19466" r:id="rId118" name="Group Box 9226">
              <controlPr defaultSize="0" autoFill="0" autoPict="0">
                <anchor moveWithCells="1" sizeWithCells="1">
                  <from>
                    <xdr:col>15</xdr:col>
                    <xdr:colOff>0</xdr:colOff>
                    <xdr:row>14</xdr:row>
                    <xdr:rowOff>0</xdr:rowOff>
                  </from>
                  <to>
                    <xdr:col>17</xdr:col>
                    <xdr:colOff>0</xdr:colOff>
                    <xdr:row>15</xdr:row>
                    <xdr:rowOff>0</xdr:rowOff>
                  </to>
                </anchor>
              </controlPr>
            </control>
          </mc:Choice>
        </mc:AlternateContent>
        <mc:AlternateContent xmlns:mc="http://schemas.openxmlformats.org/markup-compatibility/2006">
          <mc:Choice Requires="x14">
            <control shapeId="19467" r:id="rId119" name="Option Button 9227">
              <controlPr defaultSize="0" autoFill="0" autoLine="0" autoPict="0">
                <anchor moveWithCells="1" sizeWithCells="1">
                  <from>
                    <xdr:col>15</xdr:col>
                    <xdr:colOff>220980</xdr:colOff>
                    <xdr:row>15</xdr:row>
                    <xdr:rowOff>0</xdr:rowOff>
                  </from>
                  <to>
                    <xdr:col>16</xdr:col>
                    <xdr:colOff>0</xdr:colOff>
                    <xdr:row>16</xdr:row>
                    <xdr:rowOff>0</xdr:rowOff>
                  </to>
                </anchor>
              </controlPr>
            </control>
          </mc:Choice>
        </mc:AlternateContent>
        <mc:AlternateContent xmlns:mc="http://schemas.openxmlformats.org/markup-compatibility/2006">
          <mc:Choice Requires="x14">
            <control shapeId="19468" r:id="rId120" name="Option Button 9228">
              <controlPr defaultSize="0" autoFill="0" autoLine="0" autoPict="0">
                <anchor moveWithCells="1" sizeWithCells="1">
                  <from>
                    <xdr:col>16</xdr:col>
                    <xdr:colOff>220980</xdr:colOff>
                    <xdr:row>15</xdr:row>
                    <xdr:rowOff>0</xdr:rowOff>
                  </from>
                  <to>
                    <xdr:col>17</xdr:col>
                    <xdr:colOff>0</xdr:colOff>
                    <xdr:row>16</xdr:row>
                    <xdr:rowOff>0</xdr:rowOff>
                  </to>
                </anchor>
              </controlPr>
            </control>
          </mc:Choice>
        </mc:AlternateContent>
        <mc:AlternateContent xmlns:mc="http://schemas.openxmlformats.org/markup-compatibility/2006">
          <mc:Choice Requires="x14">
            <control shapeId="19469" r:id="rId121" name="Group Box 9229">
              <controlPr defaultSize="0" autoFill="0" autoPict="0">
                <anchor moveWithCells="1" sizeWithCells="1">
                  <from>
                    <xdr:col>15</xdr:col>
                    <xdr:colOff>0</xdr:colOff>
                    <xdr:row>15</xdr:row>
                    <xdr:rowOff>0</xdr:rowOff>
                  </from>
                  <to>
                    <xdr:col>17</xdr:col>
                    <xdr:colOff>0</xdr:colOff>
                    <xdr:row>16</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4"/>
  <sheetViews>
    <sheetView workbookViewId="0">
      <selection activeCell="D14" sqref="D14"/>
    </sheetView>
  </sheetViews>
  <sheetFormatPr defaultRowHeight="13.2"/>
  <cols>
    <col min="2" max="2" width="11.44140625" bestFit="1" customWidth="1"/>
    <col min="3" max="3" width="18" customWidth="1"/>
  </cols>
  <sheetData>
    <row r="1" spans="1:15" ht="15">
      <c r="A1" s="398" t="s">
        <v>452</v>
      </c>
      <c r="B1" s="399"/>
      <c r="C1" s="399"/>
      <c r="D1" s="399"/>
      <c r="E1" s="399"/>
      <c r="F1" s="399"/>
      <c r="G1" s="399"/>
      <c r="H1" s="399"/>
      <c r="I1" s="399"/>
      <c r="J1" s="399"/>
      <c r="K1" s="399"/>
      <c r="L1" s="399"/>
      <c r="M1" s="399"/>
      <c r="N1" s="399"/>
      <c r="O1" s="399"/>
    </row>
    <row r="2" spans="1:15" ht="15">
      <c r="A2" s="399"/>
      <c r="B2" s="399"/>
      <c r="C2" s="399"/>
      <c r="D2" s="399"/>
      <c r="E2" s="399"/>
      <c r="F2" s="399"/>
      <c r="G2" s="399"/>
      <c r="H2" s="399"/>
      <c r="I2" s="399"/>
      <c r="J2" s="399"/>
      <c r="K2" s="399"/>
      <c r="L2" s="399"/>
      <c r="M2" s="399"/>
      <c r="N2" s="399"/>
      <c r="O2" s="399"/>
    </row>
    <row r="3" spans="1:15" ht="15">
      <c r="A3" s="399"/>
      <c r="B3" s="400" t="s">
        <v>453</v>
      </c>
      <c r="C3" s="401" t="s">
        <v>454</v>
      </c>
      <c r="D3" s="401" t="s">
        <v>455</v>
      </c>
      <c r="E3" s="399"/>
      <c r="F3" s="399"/>
      <c r="G3" s="399"/>
      <c r="H3" s="399"/>
      <c r="I3" s="399"/>
      <c r="J3" s="399"/>
      <c r="K3" s="399"/>
      <c r="L3" s="399"/>
      <c r="M3" s="399"/>
      <c r="N3" s="399"/>
      <c r="O3" s="399"/>
    </row>
    <row r="4" spans="1:15" ht="15">
      <c r="A4" s="399"/>
      <c r="B4" s="402">
        <v>42118</v>
      </c>
      <c r="C4" s="399" t="s">
        <v>456</v>
      </c>
      <c r="D4" s="399" t="s">
        <v>457</v>
      </c>
      <c r="E4" s="399"/>
      <c r="F4" s="399"/>
      <c r="G4" s="399"/>
      <c r="H4" s="399"/>
      <c r="I4" s="399"/>
      <c r="J4" s="399"/>
      <c r="K4" s="399"/>
      <c r="L4" s="399"/>
      <c r="M4" s="399"/>
      <c r="N4" s="399"/>
      <c r="O4" s="399"/>
    </row>
    <row r="5" spans="1:15" ht="15">
      <c r="A5" s="399"/>
      <c r="B5" s="402">
        <v>42138</v>
      </c>
      <c r="C5" s="399" t="s">
        <v>458</v>
      </c>
      <c r="D5" s="399" t="s">
        <v>459</v>
      </c>
      <c r="E5" s="399"/>
      <c r="F5" s="399"/>
      <c r="G5" s="399"/>
      <c r="H5" s="399"/>
      <c r="I5" s="399"/>
      <c r="J5" s="399"/>
      <c r="K5" s="399"/>
      <c r="L5" s="399"/>
      <c r="M5" s="399"/>
      <c r="N5" s="399"/>
      <c r="O5" s="399"/>
    </row>
    <row r="6" spans="1:15" ht="15">
      <c r="A6" s="399"/>
      <c r="B6" s="402">
        <v>42157</v>
      </c>
      <c r="C6" s="399" t="s">
        <v>460</v>
      </c>
      <c r="D6" s="399" t="s">
        <v>461</v>
      </c>
      <c r="E6" s="399"/>
      <c r="F6" s="399"/>
      <c r="G6" s="399"/>
      <c r="H6" s="399"/>
      <c r="I6" s="399"/>
      <c r="J6" s="399"/>
      <c r="K6" s="399"/>
      <c r="L6" s="399"/>
      <c r="M6" s="399"/>
      <c r="N6" s="399"/>
      <c r="O6" s="399"/>
    </row>
    <row r="7" spans="1:15" ht="15">
      <c r="A7" s="399"/>
      <c r="B7" s="402">
        <v>42285</v>
      </c>
      <c r="C7" s="399" t="s">
        <v>462</v>
      </c>
      <c r="D7" s="399" t="s">
        <v>469</v>
      </c>
      <c r="E7" s="399"/>
      <c r="F7" s="399"/>
      <c r="G7" s="399"/>
      <c r="H7" s="399"/>
      <c r="I7" s="399"/>
      <c r="J7" s="399"/>
      <c r="K7" s="399"/>
      <c r="L7" s="399"/>
      <c r="M7" s="399"/>
      <c r="N7" s="399"/>
      <c r="O7" s="399"/>
    </row>
    <row r="8" spans="1:15" ht="15">
      <c r="A8" s="399"/>
      <c r="B8" s="402">
        <v>42555</v>
      </c>
      <c r="C8" s="399" t="s">
        <v>463</v>
      </c>
      <c r="D8" s="399" t="s">
        <v>464</v>
      </c>
      <c r="E8" s="399"/>
      <c r="F8" s="399"/>
      <c r="G8" s="399"/>
      <c r="H8" s="399"/>
      <c r="I8" s="399"/>
      <c r="J8" s="399"/>
      <c r="K8" s="399"/>
      <c r="L8" s="399"/>
      <c r="M8" s="399"/>
      <c r="N8" s="399"/>
      <c r="O8" s="399"/>
    </row>
    <row r="9" spans="1:15" ht="15">
      <c r="A9" s="399"/>
      <c r="B9" s="878">
        <v>42765</v>
      </c>
      <c r="C9" s="879" t="s">
        <v>465</v>
      </c>
      <c r="D9" s="399" t="s">
        <v>466</v>
      </c>
      <c r="E9" s="399"/>
      <c r="F9" s="399"/>
      <c r="G9" s="399"/>
      <c r="H9" s="399"/>
      <c r="I9" s="399"/>
      <c r="J9" s="399"/>
      <c r="K9" s="399"/>
      <c r="L9" s="399"/>
      <c r="M9" s="399"/>
      <c r="N9" s="399"/>
      <c r="O9" s="399"/>
    </row>
    <row r="10" spans="1:15" ht="15">
      <c r="A10" s="399"/>
      <c r="B10" s="878"/>
      <c r="C10" s="879"/>
      <c r="D10" s="399" t="s">
        <v>467</v>
      </c>
      <c r="E10" s="399"/>
      <c r="F10" s="399"/>
      <c r="G10" s="399"/>
      <c r="H10" s="399"/>
      <c r="I10" s="399"/>
      <c r="J10" s="399"/>
      <c r="K10" s="399"/>
      <c r="L10" s="399"/>
      <c r="M10" s="399"/>
      <c r="N10" s="399"/>
      <c r="O10" s="399"/>
    </row>
    <row r="11" spans="1:15" ht="15">
      <c r="A11" s="399"/>
      <c r="B11" s="878"/>
      <c r="C11" s="879"/>
      <c r="D11" s="399" t="s">
        <v>468</v>
      </c>
      <c r="E11" s="399"/>
      <c r="F11" s="399"/>
      <c r="G11" s="399"/>
      <c r="H11" s="399"/>
      <c r="I11" s="399"/>
      <c r="J11" s="399"/>
      <c r="K11" s="399"/>
      <c r="L11" s="399"/>
      <c r="M11" s="399"/>
      <c r="N11" s="399"/>
      <c r="O11" s="399"/>
    </row>
    <row r="12" spans="1:15" ht="15">
      <c r="A12" s="399"/>
      <c r="B12" s="403">
        <v>43070</v>
      </c>
      <c r="C12" s="399" t="s">
        <v>471</v>
      </c>
      <c r="D12" s="399" t="s">
        <v>486</v>
      </c>
      <c r="E12" s="399"/>
      <c r="F12" s="399"/>
      <c r="G12" s="399"/>
      <c r="H12" s="399"/>
      <c r="I12" s="399"/>
      <c r="J12" s="399"/>
      <c r="K12" s="399"/>
      <c r="L12" s="399"/>
      <c r="M12" s="399"/>
      <c r="N12" s="399"/>
      <c r="O12" s="399"/>
    </row>
    <row r="13" spans="1:15" ht="15">
      <c r="D13" s="399" t="s">
        <v>483</v>
      </c>
    </row>
    <row r="14" spans="1:15" ht="15">
      <c r="B14" s="403">
        <v>44235</v>
      </c>
      <c r="C14" s="399" t="s">
        <v>495</v>
      </c>
      <c r="D14" s="399" t="s">
        <v>464</v>
      </c>
    </row>
  </sheetData>
  <mergeCells count="2">
    <mergeCell ref="B9:B11"/>
    <mergeCell ref="C9:C11"/>
  </mergeCells>
  <phoneticPr fontId="1"/>
  <pageMargins left="0.7" right="0.7" top="0.75" bottom="0.75" header="0.3" footer="0.3"/>
  <pageSetup paperSize="9" orientation="portrait" horizontalDpi="300"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7a63ae98c9331042c85a0ce3caf3b722">
  <xsd:schema xmlns:xsd="http://www.w3.org/2001/XMLSchema" xmlns:p="http://schemas.microsoft.com/office/2006/metadata/properties" targetNamespace="http://schemas.microsoft.com/office/2006/metadata/properties" ma:root="true" ma:fieldsID="643ad641ad674e858ec36190b61f65cd">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5AEA876-1C84-456C-85EE-8D6F309D844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974C930B-3741-490B-84B2-C0EA1CF71D84}">
  <ds:schemaRefs>
    <ds:schemaRef ds:uri="http://schemas.openxmlformats.org/package/2006/metadata/core-properties"/>
    <ds:schemaRef ds:uri="http://schemas.microsoft.com/office/2006/documentManagement/types"/>
    <ds:schemaRef ds:uri="http://purl.org/dc/elements/1.1/"/>
    <ds:schemaRef ds:uri="http://schemas.microsoft.com/office/2006/metadata/properties"/>
    <ds:schemaRef ds:uri="http://purl.org/dc/terms/"/>
    <ds:schemaRef ds:uri="http://www.w3.org/XML/1998/namespace"/>
    <ds:schemaRef ds:uri="http://purl.org/dc/dcmitype/"/>
    <ds:schemaRef ds:uri="http://schemas.microsoft.com/office/infopath/2007/PartnerControls"/>
  </ds:schemaRefs>
</ds:datastoreItem>
</file>

<file path=customXml/itemProps3.xml><?xml version="1.0" encoding="utf-8"?>
<ds:datastoreItem xmlns:ds="http://schemas.openxmlformats.org/officeDocument/2006/customXml" ds:itemID="{C5EEE409-4BD4-4616-901C-7BB044398B0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2</vt:i4>
      </vt:variant>
    </vt:vector>
  </HeadingPairs>
  <TitlesOfParts>
    <vt:vector size="5" baseType="lpstr">
      <vt:lpstr>Instruction Sheet</vt:lpstr>
      <vt:lpstr>Declaration(Rev.11_07)</vt:lpstr>
      <vt:lpstr>History</vt:lpstr>
      <vt:lpstr>'Declaration(Rev.11_07)'!Print_Area</vt:lpstr>
      <vt:lpstr>'Instruction Sheet'!Print_Area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takechi tooru(武知 徹 □ＰＣＳ社○ＰＣＳ技□技管)</dc:creator>
  <cp:lastModifiedBy>赵庆超</cp:lastModifiedBy>
  <cp:lastPrinted>2025-08-27T08:12:22Z</cp:lastPrinted>
  <dcterms:created xsi:type="dcterms:W3CDTF">2004-10-13T04:01:11Z</dcterms:created>
  <dcterms:modified xsi:type="dcterms:W3CDTF">2026-01-26T07:24:07Z</dcterms:modified>
</cp:coreProperties>
</file>